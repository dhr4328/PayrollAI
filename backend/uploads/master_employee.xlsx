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aroll sys\"/>
    </mc:Choice>
  </mc:AlternateContent>
  <xr:revisionPtr revIDLastSave="0" documentId="13_ncr:1_{554C493F-D28C-4ACB-9F66-FFB331081FD1}" xr6:coauthVersionLast="47" xr6:coauthVersionMax="47" xr10:uidLastSave="{00000000-0000-0000-0000-000000000000}"/>
  <bookViews>
    <workbookView xWindow="-120" yWindow="-120" windowWidth="20640" windowHeight="11040" xr2:uid="{D2022AFF-2EAA-4AFA-BAD2-5A9654EF310F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56" i="1" l="1"/>
  <c r="AM156" i="1" s="1"/>
  <c r="AP156" i="1" s="1"/>
  <c r="AO156" i="1"/>
  <c r="AE155" i="1"/>
  <c r="AD155" i="1"/>
  <c r="AC155" i="1"/>
  <c r="AH155" i="1" s="1"/>
  <c r="AB155" i="1"/>
  <c r="AA155" i="1"/>
  <c r="S155" i="1"/>
  <c r="B155" i="1"/>
  <c r="AN154" i="1"/>
  <c r="AQ154" i="1" s="1"/>
  <c r="AK154" i="1"/>
  <c r="AJ154" i="1"/>
  <c r="AL154" i="1" s="1"/>
  <c r="AE154" i="1"/>
  <c r="AD154" i="1"/>
  <c r="AC154" i="1"/>
  <c r="AH154" i="1" s="1"/>
  <c r="AB154" i="1"/>
  <c r="AA154" i="1"/>
  <c r="S154" i="1"/>
  <c r="B154" i="1"/>
  <c r="AO153" i="1"/>
  <c r="AK153" i="1"/>
  <c r="AJ153" i="1"/>
  <c r="AE153" i="1"/>
  <c r="AD153" i="1"/>
  <c r="AB153" i="1"/>
  <c r="AA153" i="1"/>
  <c r="AC153" i="1" s="1"/>
  <c r="AH153" i="1" s="1"/>
  <c r="S153" i="1"/>
  <c r="B153" i="1"/>
  <c r="AK152" i="1"/>
  <c r="AJ152" i="1"/>
  <c r="AH152" i="1"/>
  <c r="AO152" i="1" s="1"/>
  <c r="AG152" i="1"/>
  <c r="AE152" i="1"/>
  <c r="AD152" i="1"/>
  <c r="AB152" i="1"/>
  <c r="AA152" i="1"/>
  <c r="AC152" i="1" s="1"/>
  <c r="S152" i="1"/>
  <c r="B152" i="1"/>
  <c r="AK151" i="1"/>
  <c r="AJ151" i="1"/>
  <c r="AG151" i="1"/>
  <c r="AE151" i="1"/>
  <c r="AD151" i="1"/>
  <c r="AB151" i="1"/>
  <c r="AA151" i="1"/>
  <c r="AC151" i="1" s="1"/>
  <c r="S151" i="1"/>
  <c r="B151" i="1"/>
  <c r="AK150" i="1"/>
  <c r="AJ150" i="1"/>
  <c r="AE150" i="1"/>
  <c r="AD150" i="1"/>
  <c r="AB150" i="1"/>
  <c r="AA150" i="1"/>
  <c r="AC150" i="1" s="1"/>
  <c r="AH150" i="1" s="1"/>
  <c r="S150" i="1"/>
  <c r="B150" i="1"/>
  <c r="AK149" i="1"/>
  <c r="AJ149" i="1"/>
  <c r="AE149" i="1"/>
  <c r="AD149" i="1"/>
  <c r="AB149" i="1"/>
  <c r="AA149" i="1"/>
  <c r="AC149" i="1" s="1"/>
  <c r="AH149" i="1" s="1"/>
  <c r="S149" i="1"/>
  <c r="B149" i="1"/>
  <c r="AK148" i="1"/>
  <c r="AJ148" i="1"/>
  <c r="AG148" i="1"/>
  <c r="AE148" i="1"/>
  <c r="AD148" i="1"/>
  <c r="AB148" i="1"/>
  <c r="AA148" i="1"/>
  <c r="AC148" i="1" s="1"/>
  <c r="S148" i="1"/>
  <c r="B148" i="1"/>
  <c r="AK147" i="1"/>
  <c r="AJ147" i="1"/>
  <c r="AG147" i="1"/>
  <c r="AE147" i="1"/>
  <c r="AD147" i="1"/>
  <c r="AC147" i="1"/>
  <c r="AB147" i="1"/>
  <c r="AA147" i="1"/>
  <c r="S147" i="1"/>
  <c r="B147" i="1"/>
  <c r="AK146" i="1"/>
  <c r="AJ146" i="1"/>
  <c r="AE146" i="1"/>
  <c r="AD146" i="1"/>
  <c r="AC146" i="1"/>
  <c r="AB146" i="1"/>
  <c r="AA146" i="1"/>
  <c r="S146" i="1"/>
  <c r="B146" i="1"/>
  <c r="AK145" i="1"/>
  <c r="AJ145" i="1"/>
  <c r="AE145" i="1"/>
  <c r="AD145" i="1"/>
  <c r="AC145" i="1"/>
  <c r="AH145" i="1" s="1"/>
  <c r="AB145" i="1"/>
  <c r="AA145" i="1"/>
  <c r="S145" i="1"/>
  <c r="B145" i="1"/>
  <c r="AK144" i="1"/>
  <c r="AJ144" i="1"/>
  <c r="AE144" i="1"/>
  <c r="AD144" i="1"/>
  <c r="AC144" i="1"/>
  <c r="AH144" i="1" s="1"/>
  <c r="AB144" i="1"/>
  <c r="AA144" i="1"/>
  <c r="S144" i="1"/>
  <c r="B144" i="1"/>
  <c r="AK143" i="1"/>
  <c r="AJ143" i="1"/>
  <c r="AH143" i="1"/>
  <c r="AE143" i="1"/>
  <c r="AD143" i="1"/>
  <c r="AB143" i="1"/>
  <c r="AA143" i="1"/>
  <c r="AC143" i="1" s="1"/>
  <c r="S143" i="1"/>
  <c r="B143" i="1"/>
  <c r="AK142" i="1"/>
  <c r="AJ142" i="1"/>
  <c r="AG142" i="1"/>
  <c r="AH142" i="1" s="1"/>
  <c r="AE142" i="1"/>
  <c r="AD142" i="1"/>
  <c r="AB142" i="1"/>
  <c r="AA142" i="1"/>
  <c r="AC142" i="1" s="1"/>
  <c r="S142" i="1"/>
  <c r="B142" i="1"/>
  <c r="AO141" i="1"/>
  <c r="AN141" i="1"/>
  <c r="AQ141" i="1" s="1"/>
  <c r="AK141" i="1"/>
  <c r="AJ141" i="1"/>
  <c r="AL141" i="1" s="1"/>
  <c r="AE141" i="1"/>
  <c r="AD141" i="1"/>
  <c r="AB141" i="1"/>
  <c r="AA141" i="1"/>
  <c r="AC141" i="1" s="1"/>
  <c r="AH141" i="1" s="1"/>
  <c r="S141" i="1"/>
  <c r="B141" i="1"/>
  <c r="AK140" i="1"/>
  <c r="AJ140" i="1"/>
  <c r="AE140" i="1"/>
  <c r="AD140" i="1"/>
  <c r="AC140" i="1"/>
  <c r="AB140" i="1"/>
  <c r="AA140" i="1"/>
  <c r="S140" i="1"/>
  <c r="B140" i="1"/>
  <c r="AK139" i="1"/>
  <c r="AJ139" i="1"/>
  <c r="AE139" i="1"/>
  <c r="AD139" i="1"/>
  <c r="AC139" i="1"/>
  <c r="AB139" i="1"/>
  <c r="AA139" i="1"/>
  <c r="S139" i="1"/>
  <c r="B139" i="1"/>
  <c r="AK138" i="1"/>
  <c r="AL138" i="1" s="1"/>
  <c r="AJ138" i="1"/>
  <c r="AE138" i="1"/>
  <c r="AD138" i="1"/>
  <c r="AC138" i="1"/>
  <c r="AH138" i="1" s="1"/>
  <c r="AB138" i="1"/>
  <c r="AA138" i="1"/>
  <c r="S138" i="1"/>
  <c r="B138" i="1"/>
  <c r="AL137" i="1"/>
  <c r="AK137" i="1"/>
  <c r="AJ137" i="1"/>
  <c r="AE137" i="1"/>
  <c r="AD137" i="1"/>
  <c r="AB137" i="1"/>
  <c r="AA137" i="1"/>
  <c r="AC137" i="1" s="1"/>
  <c r="AH137" i="1" s="1"/>
  <c r="S137" i="1"/>
  <c r="B137" i="1"/>
  <c r="AO136" i="1"/>
  <c r="AM136" i="1"/>
  <c r="AP136" i="1" s="1"/>
  <c r="AK136" i="1"/>
  <c r="AJ136" i="1"/>
  <c r="AH136" i="1"/>
  <c r="AE136" i="1"/>
  <c r="AD136" i="1"/>
  <c r="AB136" i="1"/>
  <c r="AA136" i="1"/>
  <c r="AC136" i="1" s="1"/>
  <c r="S136" i="1"/>
  <c r="N136" i="1"/>
  <c r="M136" i="1"/>
  <c r="L136" i="1"/>
  <c r="B136" i="1"/>
  <c r="AM135" i="1"/>
  <c r="AP135" i="1" s="1"/>
  <c r="AK135" i="1"/>
  <c r="AJ135" i="1"/>
  <c r="AH135" i="1"/>
  <c r="AE135" i="1"/>
  <c r="AD135" i="1"/>
  <c r="AC135" i="1"/>
  <c r="AB135" i="1"/>
  <c r="AA135" i="1"/>
  <c r="S135" i="1"/>
  <c r="N135" i="1"/>
  <c r="B135" i="1"/>
  <c r="AK134" i="1"/>
  <c r="AJ134" i="1"/>
  <c r="AE134" i="1"/>
  <c r="AD134" i="1"/>
  <c r="AC134" i="1"/>
  <c r="AH134" i="1" s="1"/>
  <c r="AB134" i="1"/>
  <c r="AA134" i="1"/>
  <c r="S134" i="1"/>
  <c r="N134" i="1"/>
  <c r="M134" i="1"/>
  <c r="L134" i="1"/>
  <c r="B134" i="1"/>
  <c r="AK133" i="1"/>
  <c r="AJ133" i="1"/>
  <c r="AE133" i="1"/>
  <c r="AH133" i="1" s="1"/>
  <c r="AD133" i="1"/>
  <c r="AB133" i="1"/>
  <c r="AA133" i="1"/>
  <c r="AC133" i="1" s="1"/>
  <c r="S133" i="1"/>
  <c r="N133" i="1"/>
  <c r="B133" i="1"/>
  <c r="AK132" i="1"/>
  <c r="AJ132" i="1"/>
  <c r="AG132" i="1"/>
  <c r="AH132" i="1" s="1"/>
  <c r="AE132" i="1"/>
  <c r="AD132" i="1"/>
  <c r="AB132" i="1"/>
  <c r="AA132" i="1"/>
  <c r="AC132" i="1" s="1"/>
  <c r="S132" i="1"/>
  <c r="N132" i="1"/>
  <c r="M132" i="1"/>
  <c r="L132" i="1"/>
  <c r="B132" i="1"/>
  <c r="AK131" i="1"/>
  <c r="AJ131" i="1"/>
  <c r="AG131" i="1"/>
  <c r="AE131" i="1"/>
  <c r="AD131" i="1"/>
  <c r="AC131" i="1"/>
  <c r="AB131" i="1"/>
  <c r="AA131" i="1"/>
  <c r="S131" i="1"/>
  <c r="N131" i="1"/>
  <c r="M131" i="1"/>
  <c r="L131" i="1"/>
  <c r="B131" i="1"/>
  <c r="AK130" i="1"/>
  <c r="AJ130" i="1"/>
  <c r="AG130" i="1"/>
  <c r="AH130" i="1" s="1"/>
  <c r="AE130" i="1"/>
  <c r="AD130" i="1"/>
  <c r="AB130" i="1"/>
  <c r="AA130" i="1"/>
  <c r="AC130" i="1" s="1"/>
  <c r="S130" i="1"/>
  <c r="N130" i="1"/>
  <c r="M130" i="1"/>
  <c r="L130" i="1"/>
  <c r="B130" i="1"/>
  <c r="AL129" i="1"/>
  <c r="AK129" i="1"/>
  <c r="AJ129" i="1"/>
  <c r="AG129" i="1"/>
  <c r="AE129" i="1"/>
  <c r="AD129" i="1"/>
  <c r="AC129" i="1"/>
  <c r="AH129" i="1" s="1"/>
  <c r="AB129" i="1"/>
  <c r="AA129" i="1"/>
  <c r="S129" i="1"/>
  <c r="N129" i="1"/>
  <c r="M129" i="1"/>
  <c r="L129" i="1"/>
  <c r="B129" i="1"/>
  <c r="AK128" i="1"/>
  <c r="AJ128" i="1"/>
  <c r="AG128" i="1"/>
  <c r="AE128" i="1"/>
  <c r="AD128" i="1"/>
  <c r="AB128" i="1"/>
  <c r="AA128" i="1"/>
  <c r="AC128" i="1" s="1"/>
  <c r="S128" i="1"/>
  <c r="N128" i="1"/>
  <c r="M128" i="1"/>
  <c r="L128" i="1"/>
  <c r="B128" i="1"/>
  <c r="AK127" i="1"/>
  <c r="AJ127" i="1"/>
  <c r="AE127" i="1"/>
  <c r="AD127" i="1"/>
  <c r="AC127" i="1"/>
  <c r="AH127" i="1" s="1"/>
  <c r="AN127" i="1" s="1"/>
  <c r="AQ127" i="1" s="1"/>
  <c r="AB127" i="1"/>
  <c r="AA127" i="1"/>
  <c r="S127" i="1"/>
  <c r="N127" i="1"/>
  <c r="B127" i="1"/>
  <c r="AK126" i="1"/>
  <c r="AJ126" i="1"/>
  <c r="AE126" i="1"/>
  <c r="AD126" i="1"/>
  <c r="AB126" i="1"/>
  <c r="AA126" i="1"/>
  <c r="AC126" i="1" s="1"/>
  <c r="AH126" i="1" s="1"/>
  <c r="S126" i="1"/>
  <c r="N126" i="1"/>
  <c r="B126" i="1"/>
  <c r="AK125" i="1"/>
  <c r="AJ125" i="1"/>
  <c r="AG125" i="1"/>
  <c r="AE125" i="1"/>
  <c r="AD125" i="1"/>
  <c r="AC125" i="1"/>
  <c r="AB125" i="1"/>
  <c r="AA125" i="1"/>
  <c r="S125" i="1"/>
  <c r="N125" i="1"/>
  <c r="B125" i="1"/>
  <c r="AK124" i="1"/>
  <c r="AJ124" i="1"/>
  <c r="AH124" i="1"/>
  <c r="AE124" i="1"/>
  <c r="AD124" i="1"/>
  <c r="AC124" i="1"/>
  <c r="AB124" i="1"/>
  <c r="AA124" i="1"/>
  <c r="S124" i="1"/>
  <c r="N124" i="1"/>
  <c r="B124" i="1"/>
  <c r="AK123" i="1"/>
  <c r="AJ123" i="1"/>
  <c r="AE123" i="1"/>
  <c r="AD123" i="1"/>
  <c r="AC123" i="1"/>
  <c r="AH123" i="1" s="1"/>
  <c r="AM123" i="1" s="1"/>
  <c r="AP123" i="1" s="1"/>
  <c r="AB123" i="1"/>
  <c r="AA123" i="1"/>
  <c r="S123" i="1"/>
  <c r="B123" i="1"/>
  <c r="AK122" i="1"/>
  <c r="AJ122" i="1"/>
  <c r="AG122" i="1"/>
  <c r="AE122" i="1"/>
  <c r="AD122" i="1"/>
  <c r="AC122" i="1"/>
  <c r="AB122" i="1"/>
  <c r="AA122" i="1"/>
  <c r="S122" i="1"/>
  <c r="B122" i="1"/>
  <c r="AK121" i="1"/>
  <c r="AJ121" i="1"/>
  <c r="AE121" i="1"/>
  <c r="AD121" i="1"/>
  <c r="AC121" i="1"/>
  <c r="AH121" i="1" s="1"/>
  <c r="AB121" i="1"/>
  <c r="AA121" i="1"/>
  <c r="S121" i="1"/>
  <c r="B121" i="1"/>
  <c r="AK120" i="1"/>
  <c r="AJ120" i="1"/>
  <c r="AH120" i="1"/>
  <c r="AE120" i="1"/>
  <c r="AD120" i="1"/>
  <c r="AB120" i="1"/>
  <c r="AA120" i="1"/>
  <c r="AC120" i="1" s="1"/>
  <c r="S120" i="1"/>
  <c r="B120" i="1"/>
  <c r="AK119" i="1"/>
  <c r="AJ119" i="1"/>
  <c r="AG119" i="1"/>
  <c r="AH119" i="1" s="1"/>
  <c r="AE119" i="1"/>
  <c r="AD119" i="1"/>
  <c r="AB119" i="1"/>
  <c r="AA119" i="1"/>
  <c r="AC119" i="1" s="1"/>
  <c r="S119" i="1"/>
  <c r="B119" i="1"/>
  <c r="AK118" i="1"/>
  <c r="AJ118" i="1"/>
  <c r="AG118" i="1"/>
  <c r="AE118" i="1"/>
  <c r="AD118" i="1"/>
  <c r="AH118" i="1" s="1"/>
  <c r="AB118" i="1"/>
  <c r="AA118" i="1"/>
  <c r="AC118" i="1" s="1"/>
  <c r="S118" i="1"/>
  <c r="B118" i="1"/>
  <c r="AK117" i="1"/>
  <c r="AJ117" i="1"/>
  <c r="AH117" i="1"/>
  <c r="AG117" i="1"/>
  <c r="AE117" i="1"/>
  <c r="AD117" i="1"/>
  <c r="AB117" i="1"/>
  <c r="AA117" i="1"/>
  <c r="AC117" i="1" s="1"/>
  <c r="S117" i="1"/>
  <c r="B117" i="1"/>
  <c r="AK116" i="1"/>
  <c r="AJ116" i="1"/>
  <c r="AG116" i="1"/>
  <c r="AE116" i="1"/>
  <c r="AD116" i="1"/>
  <c r="AC116" i="1"/>
  <c r="AB116" i="1"/>
  <c r="AA116" i="1"/>
  <c r="S116" i="1"/>
  <c r="B116" i="1"/>
  <c r="AK115" i="1"/>
  <c r="AJ115" i="1"/>
  <c r="AG115" i="1"/>
  <c r="AE115" i="1"/>
  <c r="AD115" i="1"/>
  <c r="AB115" i="1"/>
  <c r="AA115" i="1"/>
  <c r="AC115" i="1" s="1"/>
  <c r="AH115" i="1" s="1"/>
  <c r="AO115" i="1" s="1"/>
  <c r="S115" i="1"/>
  <c r="B115" i="1"/>
  <c r="AO114" i="1"/>
  <c r="AK114" i="1"/>
  <c r="AJ114" i="1"/>
  <c r="AG114" i="1"/>
  <c r="AE114" i="1"/>
  <c r="AD114" i="1"/>
  <c r="AC114" i="1"/>
  <c r="AH114" i="1" s="1"/>
  <c r="AB114" i="1"/>
  <c r="AA114" i="1"/>
  <c r="S114" i="1"/>
  <c r="B114" i="1"/>
  <c r="AK113" i="1"/>
  <c r="AJ113" i="1"/>
  <c r="AG113" i="1"/>
  <c r="AE113" i="1"/>
  <c r="AD113" i="1"/>
  <c r="AC113" i="1"/>
  <c r="AH113" i="1" s="1"/>
  <c r="AB113" i="1"/>
  <c r="AA113" i="1"/>
  <c r="S113" i="1"/>
  <c r="B113" i="1"/>
  <c r="AK112" i="1"/>
  <c r="AJ112" i="1"/>
  <c r="AE112" i="1"/>
  <c r="AD112" i="1"/>
  <c r="AB112" i="1"/>
  <c r="AA112" i="1"/>
  <c r="AC112" i="1" s="1"/>
  <c r="AH112" i="1" s="1"/>
  <c r="S112" i="1"/>
  <c r="B112" i="1"/>
  <c r="AK111" i="1"/>
  <c r="AJ111" i="1"/>
  <c r="AG111" i="1"/>
  <c r="AE111" i="1"/>
  <c r="AD111" i="1"/>
  <c r="AB111" i="1"/>
  <c r="AA111" i="1"/>
  <c r="AC111" i="1" s="1"/>
  <c r="AH111" i="1" s="1"/>
  <c r="S111" i="1"/>
  <c r="B111" i="1"/>
  <c r="AK110" i="1"/>
  <c r="AJ110" i="1"/>
  <c r="AG110" i="1"/>
  <c r="AE110" i="1"/>
  <c r="AD110" i="1"/>
  <c r="AC110" i="1"/>
  <c r="AB110" i="1"/>
  <c r="AA110" i="1"/>
  <c r="S110" i="1"/>
  <c r="B110" i="1"/>
  <c r="AK109" i="1"/>
  <c r="AJ109" i="1"/>
  <c r="AE109" i="1"/>
  <c r="AD109" i="1"/>
  <c r="AB109" i="1"/>
  <c r="AA109" i="1"/>
  <c r="AC109" i="1" s="1"/>
  <c r="AH109" i="1" s="1"/>
  <c r="AN109" i="1" s="1"/>
  <c r="AQ109" i="1" s="1"/>
  <c r="S109" i="1"/>
  <c r="B109" i="1"/>
  <c r="AK108" i="1"/>
  <c r="AJ108" i="1"/>
  <c r="AE108" i="1"/>
  <c r="AD108" i="1"/>
  <c r="AB108" i="1"/>
  <c r="AA108" i="1"/>
  <c r="AC108" i="1" s="1"/>
  <c r="AH108" i="1" s="1"/>
  <c r="S108" i="1"/>
  <c r="B108" i="1"/>
  <c r="AK107" i="1"/>
  <c r="AJ107" i="1"/>
  <c r="AE107" i="1"/>
  <c r="AD107" i="1"/>
  <c r="AC107" i="1"/>
  <c r="AB107" i="1"/>
  <c r="AA107" i="1"/>
  <c r="S107" i="1"/>
  <c r="B107" i="1"/>
  <c r="AK106" i="1"/>
  <c r="AJ106" i="1"/>
  <c r="AE106" i="1"/>
  <c r="AD106" i="1"/>
  <c r="AC106" i="1"/>
  <c r="AH106" i="1" s="1"/>
  <c r="AN106" i="1" s="1"/>
  <c r="AQ106" i="1" s="1"/>
  <c r="AB106" i="1"/>
  <c r="AA106" i="1"/>
  <c r="S106" i="1"/>
  <c r="B106" i="1"/>
  <c r="AK105" i="1"/>
  <c r="AJ105" i="1"/>
  <c r="AH105" i="1"/>
  <c r="AE105" i="1"/>
  <c r="AD105" i="1"/>
  <c r="AB105" i="1"/>
  <c r="AA105" i="1"/>
  <c r="AC105" i="1" s="1"/>
  <c r="S105" i="1"/>
  <c r="B105" i="1"/>
  <c r="AO104" i="1"/>
  <c r="AN104" i="1"/>
  <c r="AQ104" i="1" s="1"/>
  <c r="AM104" i="1"/>
  <c r="AP104" i="1" s="1"/>
  <c r="AK104" i="1"/>
  <c r="AJ104" i="1"/>
  <c r="AE104" i="1"/>
  <c r="AD104" i="1"/>
  <c r="AB104" i="1"/>
  <c r="AA104" i="1"/>
  <c r="AC104" i="1" s="1"/>
  <c r="AH104" i="1" s="1"/>
  <c r="S104" i="1"/>
  <c r="B104" i="1"/>
  <c r="AK103" i="1"/>
  <c r="AJ103" i="1"/>
  <c r="AE103" i="1"/>
  <c r="AD103" i="1"/>
  <c r="AB103" i="1"/>
  <c r="AA103" i="1"/>
  <c r="AC103" i="1" s="1"/>
  <c r="S103" i="1"/>
  <c r="B103" i="1"/>
  <c r="AK102" i="1"/>
  <c r="AJ102" i="1"/>
  <c r="AG102" i="1"/>
  <c r="AE102" i="1"/>
  <c r="AD102" i="1"/>
  <c r="AB102" i="1"/>
  <c r="AA102" i="1"/>
  <c r="AC102" i="1" s="1"/>
  <c r="S102" i="1"/>
  <c r="B102" i="1"/>
  <c r="AK101" i="1"/>
  <c r="AJ101" i="1"/>
  <c r="AE101" i="1"/>
  <c r="AD101" i="1"/>
  <c r="AB101" i="1"/>
  <c r="AA101" i="1"/>
  <c r="AC101" i="1" s="1"/>
  <c r="AH101" i="1" s="1"/>
  <c r="S101" i="1"/>
  <c r="B101" i="1"/>
  <c r="AK100" i="1"/>
  <c r="AJ100" i="1"/>
  <c r="AE100" i="1"/>
  <c r="AD100" i="1"/>
  <c r="AC100" i="1"/>
  <c r="AH100" i="1" s="1"/>
  <c r="AB100" i="1"/>
  <c r="AA100" i="1"/>
  <c r="S100" i="1"/>
  <c r="B100" i="1"/>
  <c r="AK99" i="1"/>
  <c r="AJ99" i="1"/>
  <c r="AE99" i="1"/>
  <c r="AD99" i="1"/>
  <c r="AB99" i="1"/>
  <c r="AA99" i="1"/>
  <c r="AC99" i="1" s="1"/>
  <c r="AH99" i="1" s="1"/>
  <c r="AN99" i="1" s="1"/>
  <c r="AQ99" i="1" s="1"/>
  <c r="S99" i="1"/>
  <c r="B99" i="1"/>
  <c r="AK98" i="1"/>
  <c r="AJ98" i="1"/>
  <c r="AE98" i="1"/>
  <c r="AD98" i="1"/>
  <c r="AB98" i="1"/>
  <c r="AA98" i="1"/>
  <c r="AC98" i="1" s="1"/>
  <c r="AH98" i="1" s="1"/>
  <c r="S98" i="1"/>
  <c r="B98" i="1"/>
  <c r="AK97" i="1"/>
  <c r="AJ97" i="1"/>
  <c r="AE97" i="1"/>
  <c r="AD97" i="1"/>
  <c r="AB97" i="1"/>
  <c r="AA97" i="1"/>
  <c r="AC97" i="1" s="1"/>
  <c r="AH97" i="1" s="1"/>
  <c r="S97" i="1"/>
  <c r="B97" i="1"/>
  <c r="AK96" i="1"/>
  <c r="AJ96" i="1"/>
  <c r="AE96" i="1"/>
  <c r="AD96" i="1"/>
  <c r="AC96" i="1"/>
  <c r="AH96" i="1" s="1"/>
  <c r="AB96" i="1"/>
  <c r="AA96" i="1"/>
  <c r="S96" i="1"/>
  <c r="B96" i="1"/>
  <c r="AK95" i="1"/>
  <c r="AJ95" i="1"/>
  <c r="AG95" i="1"/>
  <c r="AH95" i="1" s="1"/>
  <c r="AE95" i="1"/>
  <c r="AD95" i="1"/>
  <c r="AB95" i="1"/>
  <c r="AA95" i="1"/>
  <c r="AC95" i="1" s="1"/>
  <c r="S95" i="1"/>
  <c r="B95" i="1"/>
  <c r="AK94" i="1"/>
  <c r="AJ94" i="1"/>
  <c r="AG94" i="1"/>
  <c r="AE94" i="1"/>
  <c r="AD94" i="1"/>
  <c r="AB94" i="1"/>
  <c r="AA94" i="1"/>
  <c r="AC94" i="1" s="1"/>
  <c r="S94" i="1"/>
  <c r="B94" i="1"/>
  <c r="AK93" i="1"/>
  <c r="AJ93" i="1"/>
  <c r="AE93" i="1"/>
  <c r="AD93" i="1"/>
  <c r="AC93" i="1"/>
  <c r="AH93" i="1" s="1"/>
  <c r="AB93" i="1"/>
  <c r="AA93" i="1"/>
  <c r="S93" i="1"/>
  <c r="B93" i="1"/>
  <c r="AK92" i="1"/>
  <c r="AJ92" i="1"/>
  <c r="AG92" i="1"/>
  <c r="AE92" i="1"/>
  <c r="AD92" i="1"/>
  <c r="AC92" i="1"/>
  <c r="AB92" i="1"/>
  <c r="AA92" i="1"/>
  <c r="S92" i="1"/>
  <c r="B92" i="1"/>
  <c r="AK91" i="1"/>
  <c r="AJ91" i="1"/>
  <c r="AH91" i="1"/>
  <c r="AN91" i="1" s="1"/>
  <c r="AQ91" i="1" s="1"/>
  <c r="AG91" i="1"/>
  <c r="AE91" i="1"/>
  <c r="AD91" i="1"/>
  <c r="AC91" i="1"/>
  <c r="AB91" i="1"/>
  <c r="AA91" i="1"/>
  <c r="S91" i="1"/>
  <c r="B91" i="1"/>
  <c r="AK90" i="1"/>
  <c r="AJ90" i="1"/>
  <c r="AE90" i="1"/>
  <c r="AD90" i="1"/>
  <c r="AC90" i="1"/>
  <c r="AB90" i="1"/>
  <c r="AA90" i="1"/>
  <c r="S90" i="1"/>
  <c r="B90" i="1"/>
  <c r="AK89" i="1"/>
  <c r="AJ89" i="1"/>
  <c r="AE89" i="1"/>
  <c r="AD89" i="1"/>
  <c r="AB89" i="1"/>
  <c r="AA89" i="1"/>
  <c r="AC89" i="1" s="1"/>
  <c r="AH89" i="1" s="1"/>
  <c r="S89" i="1"/>
  <c r="B89" i="1"/>
  <c r="AK88" i="1"/>
  <c r="AJ88" i="1"/>
  <c r="AG88" i="1"/>
  <c r="AE88" i="1"/>
  <c r="AD88" i="1"/>
  <c r="AH88" i="1" s="1"/>
  <c r="AC88" i="1"/>
  <c r="AB88" i="1"/>
  <c r="AA88" i="1"/>
  <c r="S88" i="1"/>
  <c r="B88" i="1"/>
  <c r="AK87" i="1"/>
  <c r="AJ87" i="1"/>
  <c r="AG87" i="1"/>
  <c r="AE87" i="1"/>
  <c r="AD87" i="1"/>
  <c r="AB87" i="1"/>
  <c r="AA87" i="1"/>
  <c r="AC87" i="1" s="1"/>
  <c r="AH87" i="1" s="1"/>
  <c r="S87" i="1"/>
  <c r="B87" i="1"/>
  <c r="AK86" i="1"/>
  <c r="AJ86" i="1"/>
  <c r="AG86" i="1"/>
  <c r="AE86" i="1"/>
  <c r="AD86" i="1"/>
  <c r="AB86" i="1"/>
  <c r="AA86" i="1"/>
  <c r="AC86" i="1" s="1"/>
  <c r="S86" i="1"/>
  <c r="B86" i="1"/>
  <c r="AK85" i="1"/>
  <c r="AJ85" i="1"/>
  <c r="AG85" i="1"/>
  <c r="AE85" i="1"/>
  <c r="AD85" i="1"/>
  <c r="AC85" i="1"/>
  <c r="AB85" i="1"/>
  <c r="AA85" i="1"/>
  <c r="S85" i="1"/>
  <c r="B85" i="1"/>
  <c r="AK84" i="1"/>
  <c r="AJ84" i="1"/>
  <c r="AE84" i="1"/>
  <c r="AD84" i="1"/>
  <c r="AB84" i="1"/>
  <c r="AA84" i="1"/>
  <c r="AC84" i="1" s="1"/>
  <c r="AH84" i="1" s="1"/>
  <c r="AM84" i="1" s="1"/>
  <c r="AP84" i="1" s="1"/>
  <c r="S84" i="1"/>
  <c r="B84" i="1"/>
  <c r="AK83" i="1"/>
  <c r="AJ83" i="1"/>
  <c r="AG83" i="1"/>
  <c r="AE83" i="1"/>
  <c r="AD83" i="1"/>
  <c r="AB83" i="1"/>
  <c r="AA83" i="1"/>
  <c r="AC83" i="1" s="1"/>
  <c r="AH83" i="1" s="1"/>
  <c r="S83" i="1"/>
  <c r="B83" i="1"/>
  <c r="AK82" i="1"/>
  <c r="AJ82" i="1"/>
  <c r="AG82" i="1"/>
  <c r="AE82" i="1"/>
  <c r="AD82" i="1"/>
  <c r="AB82" i="1"/>
  <c r="AA82" i="1"/>
  <c r="AC82" i="1" s="1"/>
  <c r="S82" i="1"/>
  <c r="B82" i="1"/>
  <c r="AK81" i="1"/>
  <c r="AJ81" i="1"/>
  <c r="AG81" i="1"/>
  <c r="AE81" i="1"/>
  <c r="AD81" i="1"/>
  <c r="AC81" i="1"/>
  <c r="AB81" i="1"/>
  <c r="AA81" i="1"/>
  <c r="S81" i="1"/>
  <c r="B81" i="1"/>
  <c r="AK80" i="1"/>
  <c r="AJ80" i="1"/>
  <c r="AG80" i="1"/>
  <c r="AE80" i="1"/>
  <c r="AD80" i="1"/>
  <c r="AB80" i="1"/>
  <c r="AA80" i="1"/>
  <c r="AC80" i="1" s="1"/>
  <c r="S80" i="1"/>
  <c r="B80" i="1"/>
  <c r="AK79" i="1"/>
  <c r="AJ79" i="1"/>
  <c r="AG79" i="1"/>
  <c r="AE79" i="1"/>
  <c r="AD79" i="1"/>
  <c r="AB79" i="1"/>
  <c r="AA79" i="1"/>
  <c r="AC79" i="1" s="1"/>
  <c r="S79" i="1"/>
  <c r="B79" i="1"/>
  <c r="AK78" i="1"/>
  <c r="AJ78" i="1"/>
  <c r="AE78" i="1"/>
  <c r="AD78" i="1"/>
  <c r="AB78" i="1"/>
  <c r="AA78" i="1"/>
  <c r="AC78" i="1" s="1"/>
  <c r="AH78" i="1" s="1"/>
  <c r="S78" i="1"/>
  <c r="B78" i="1"/>
  <c r="AK77" i="1"/>
  <c r="AJ77" i="1"/>
  <c r="AG77" i="1"/>
  <c r="AE77" i="1"/>
  <c r="AD77" i="1"/>
  <c r="AC77" i="1"/>
  <c r="AB77" i="1"/>
  <c r="AA77" i="1"/>
  <c r="S77" i="1"/>
  <c r="B77" i="1"/>
  <c r="AK76" i="1"/>
  <c r="AJ76" i="1"/>
  <c r="AG76" i="1"/>
  <c r="AH76" i="1" s="1"/>
  <c r="AE76" i="1"/>
  <c r="AD76" i="1"/>
  <c r="AB76" i="1"/>
  <c r="AA76" i="1"/>
  <c r="AC76" i="1" s="1"/>
  <c r="S76" i="1"/>
  <c r="B76" i="1"/>
  <c r="AK75" i="1"/>
  <c r="AJ75" i="1"/>
  <c r="AG75" i="1"/>
  <c r="AE75" i="1"/>
  <c r="AD75" i="1"/>
  <c r="AB75" i="1"/>
  <c r="AA75" i="1"/>
  <c r="AC75" i="1" s="1"/>
  <c r="S75" i="1"/>
  <c r="B75" i="1"/>
  <c r="AO74" i="1"/>
  <c r="AK74" i="1"/>
  <c r="AJ74" i="1"/>
  <c r="AE74" i="1"/>
  <c r="AD74" i="1"/>
  <c r="AB74" i="1"/>
  <c r="AA74" i="1"/>
  <c r="AC74" i="1" s="1"/>
  <c r="AH74" i="1" s="1"/>
  <c r="S74" i="1"/>
  <c r="B74" i="1"/>
  <c r="AK73" i="1"/>
  <c r="AJ73" i="1"/>
  <c r="AG73" i="1"/>
  <c r="AE73" i="1"/>
  <c r="AD73" i="1"/>
  <c r="AB73" i="1"/>
  <c r="AA73" i="1"/>
  <c r="AC73" i="1" s="1"/>
  <c r="S73" i="1"/>
  <c r="B73" i="1"/>
  <c r="AK72" i="1"/>
  <c r="AJ72" i="1"/>
  <c r="AG72" i="1"/>
  <c r="AE72" i="1"/>
  <c r="AD72" i="1"/>
  <c r="AB72" i="1"/>
  <c r="AA72" i="1"/>
  <c r="AC72" i="1" s="1"/>
  <c r="S72" i="1"/>
  <c r="B72" i="1"/>
  <c r="AK71" i="1"/>
  <c r="AJ71" i="1"/>
  <c r="AG71" i="1"/>
  <c r="AH71" i="1" s="1"/>
  <c r="AE71" i="1"/>
  <c r="AD71" i="1"/>
  <c r="AC71" i="1"/>
  <c r="AB71" i="1"/>
  <c r="AA71" i="1"/>
  <c r="S71" i="1"/>
  <c r="B71" i="1"/>
  <c r="AO70" i="1"/>
  <c r="AN70" i="1"/>
  <c r="AQ70" i="1" s="1"/>
  <c r="AM70" i="1"/>
  <c r="AP70" i="1" s="1"/>
  <c r="AK70" i="1"/>
  <c r="AJ70" i="1"/>
  <c r="AH70" i="1"/>
  <c r="AE70" i="1"/>
  <c r="AD70" i="1"/>
  <c r="AC70" i="1"/>
  <c r="AB70" i="1"/>
  <c r="AA70" i="1"/>
  <c r="S70" i="1"/>
  <c r="B70" i="1"/>
  <c r="AK69" i="1"/>
  <c r="AJ69" i="1"/>
  <c r="AG69" i="1"/>
  <c r="AE69" i="1"/>
  <c r="AD69" i="1"/>
  <c r="AC69" i="1"/>
  <c r="AH69" i="1" s="1"/>
  <c r="AB69" i="1"/>
  <c r="AA69" i="1"/>
  <c r="S69" i="1"/>
  <c r="B69" i="1"/>
  <c r="AK68" i="1"/>
  <c r="AJ68" i="1"/>
  <c r="AG68" i="1"/>
  <c r="AH68" i="1" s="1"/>
  <c r="AE68" i="1"/>
  <c r="AD68" i="1"/>
  <c r="AC68" i="1"/>
  <c r="AB68" i="1"/>
  <c r="AA68" i="1"/>
  <c r="S68" i="1"/>
  <c r="B68" i="1"/>
  <c r="AK67" i="1"/>
  <c r="AJ67" i="1"/>
  <c r="AG67" i="1"/>
  <c r="AE67" i="1"/>
  <c r="AD67" i="1"/>
  <c r="AB67" i="1"/>
  <c r="AA67" i="1"/>
  <c r="AC67" i="1" s="1"/>
  <c r="S67" i="1"/>
  <c r="B67" i="1"/>
  <c r="AK66" i="1"/>
  <c r="AJ66" i="1"/>
  <c r="AG66" i="1"/>
  <c r="AE66" i="1"/>
  <c r="AD66" i="1"/>
  <c r="AC66" i="1"/>
  <c r="AB66" i="1"/>
  <c r="AA66" i="1"/>
  <c r="S66" i="1"/>
  <c r="B66" i="1"/>
  <c r="AK65" i="1"/>
  <c r="AJ65" i="1"/>
  <c r="AG65" i="1"/>
  <c r="AE65" i="1"/>
  <c r="AD65" i="1"/>
  <c r="AB65" i="1"/>
  <c r="AA65" i="1"/>
  <c r="AC65" i="1" s="1"/>
  <c r="S65" i="1"/>
  <c r="B65" i="1"/>
  <c r="AK64" i="1"/>
  <c r="AJ64" i="1"/>
  <c r="AE64" i="1"/>
  <c r="AD64" i="1"/>
  <c r="AC64" i="1"/>
  <c r="AH64" i="1" s="1"/>
  <c r="AB64" i="1"/>
  <c r="AA64" i="1"/>
  <c r="S64" i="1"/>
  <c r="B64" i="1"/>
  <c r="AO63" i="1"/>
  <c r="AK63" i="1"/>
  <c r="AJ63" i="1"/>
  <c r="AE63" i="1"/>
  <c r="AD63" i="1"/>
  <c r="AB63" i="1"/>
  <c r="AA63" i="1"/>
  <c r="AC63" i="1" s="1"/>
  <c r="AH63" i="1" s="1"/>
  <c r="S63" i="1"/>
  <c r="B63" i="1"/>
  <c r="AK62" i="1"/>
  <c r="AJ62" i="1"/>
  <c r="AE62" i="1"/>
  <c r="AD62" i="1"/>
  <c r="AB62" i="1"/>
  <c r="AA62" i="1"/>
  <c r="AC62" i="1" s="1"/>
  <c r="AH62" i="1" s="1"/>
  <c r="S62" i="1"/>
  <c r="B62" i="1"/>
  <c r="AK61" i="1"/>
  <c r="AJ61" i="1"/>
  <c r="AE61" i="1"/>
  <c r="AD61" i="1"/>
  <c r="AB61" i="1"/>
  <c r="AA61" i="1"/>
  <c r="AC61" i="1" s="1"/>
  <c r="AH61" i="1" s="1"/>
  <c r="S61" i="1"/>
  <c r="B61" i="1"/>
  <c r="AK60" i="1"/>
  <c r="AJ60" i="1"/>
  <c r="AE60" i="1"/>
  <c r="AH60" i="1" s="1"/>
  <c r="AD60" i="1"/>
  <c r="AB60" i="1"/>
  <c r="AA60" i="1"/>
  <c r="AC60" i="1" s="1"/>
  <c r="S60" i="1"/>
  <c r="B60" i="1"/>
  <c r="AK59" i="1"/>
  <c r="AJ59" i="1"/>
  <c r="AE59" i="1"/>
  <c r="AD59" i="1"/>
  <c r="AC59" i="1"/>
  <c r="AB59" i="1"/>
  <c r="AA59" i="1"/>
  <c r="S59" i="1"/>
  <c r="B59" i="1"/>
  <c r="AM58" i="1"/>
  <c r="AP58" i="1" s="1"/>
  <c r="AK58" i="1"/>
  <c r="AJ58" i="1"/>
  <c r="AL58" i="1" s="1"/>
  <c r="AE58" i="1"/>
  <c r="AD58" i="1"/>
  <c r="AC58" i="1"/>
  <c r="AH58" i="1" s="1"/>
  <c r="AB58" i="1"/>
  <c r="AA58" i="1"/>
  <c r="S58" i="1"/>
  <c r="B58" i="1"/>
  <c r="AK57" i="1"/>
  <c r="AJ57" i="1"/>
  <c r="AE57" i="1"/>
  <c r="AD57" i="1"/>
  <c r="AB57" i="1"/>
  <c r="AA57" i="1"/>
  <c r="AC57" i="1" s="1"/>
  <c r="AH57" i="1" s="1"/>
  <c r="S57" i="1"/>
  <c r="B57" i="1"/>
  <c r="AK56" i="1"/>
  <c r="AJ56" i="1"/>
  <c r="AE56" i="1"/>
  <c r="AD56" i="1"/>
  <c r="AC56" i="1"/>
  <c r="AH56" i="1" s="1"/>
  <c r="AB56" i="1"/>
  <c r="AA56" i="1"/>
  <c r="S56" i="1"/>
  <c r="B56" i="1"/>
  <c r="AK55" i="1"/>
  <c r="AJ55" i="1"/>
  <c r="AE55" i="1"/>
  <c r="AD55" i="1"/>
  <c r="AB55" i="1"/>
  <c r="AA55" i="1"/>
  <c r="AC55" i="1" s="1"/>
  <c r="AH55" i="1" s="1"/>
  <c r="S55" i="1"/>
  <c r="B55" i="1"/>
  <c r="AO54" i="1"/>
  <c r="AN54" i="1"/>
  <c r="AQ54" i="1" s="1"/>
  <c r="AM54" i="1"/>
  <c r="AP54" i="1" s="1"/>
  <c r="AL54" i="1"/>
  <c r="AK54" i="1"/>
  <c r="AJ54" i="1"/>
  <c r="AE54" i="1"/>
  <c r="AD54" i="1"/>
  <c r="AB54" i="1"/>
  <c r="AA54" i="1"/>
  <c r="AC54" i="1" s="1"/>
  <c r="AH54" i="1" s="1"/>
  <c r="S54" i="1"/>
  <c r="B54" i="1"/>
  <c r="AK53" i="1"/>
  <c r="AJ53" i="1"/>
  <c r="AE53" i="1"/>
  <c r="AD53" i="1"/>
  <c r="AC53" i="1"/>
  <c r="AH53" i="1" s="1"/>
  <c r="AB53" i="1"/>
  <c r="AA53" i="1"/>
  <c r="S53" i="1"/>
  <c r="B53" i="1"/>
  <c r="AK52" i="1"/>
  <c r="AJ52" i="1"/>
  <c r="AH52" i="1"/>
  <c r="AE52" i="1"/>
  <c r="AD52" i="1"/>
  <c r="AC52" i="1"/>
  <c r="AB52" i="1"/>
  <c r="AA52" i="1"/>
  <c r="S52" i="1"/>
  <c r="B52" i="1"/>
  <c r="AN51" i="1"/>
  <c r="AQ51" i="1" s="1"/>
  <c r="AM51" i="1"/>
  <c r="AP51" i="1" s="1"/>
  <c r="AK51" i="1"/>
  <c r="AL51" i="1" s="1"/>
  <c r="AJ51" i="1"/>
  <c r="AE51" i="1"/>
  <c r="AD51" i="1"/>
  <c r="AB51" i="1"/>
  <c r="AA51" i="1"/>
  <c r="AC51" i="1" s="1"/>
  <c r="AH51" i="1" s="1"/>
  <c r="S51" i="1"/>
  <c r="B51" i="1"/>
  <c r="AO50" i="1"/>
  <c r="AK50" i="1"/>
  <c r="AJ50" i="1"/>
  <c r="AE50" i="1"/>
  <c r="AD50" i="1"/>
  <c r="AC50" i="1"/>
  <c r="AH50" i="1" s="1"/>
  <c r="AB50" i="1"/>
  <c r="AA50" i="1"/>
  <c r="S50" i="1"/>
  <c r="B50" i="1"/>
  <c r="AO49" i="1"/>
  <c r="AN49" i="1"/>
  <c r="AQ49" i="1" s="1"/>
  <c r="AM49" i="1"/>
  <c r="AP49" i="1" s="1"/>
  <c r="AK49" i="1"/>
  <c r="AJ49" i="1"/>
  <c r="AE49" i="1"/>
  <c r="AH49" i="1" s="1"/>
  <c r="AD49" i="1"/>
  <c r="AB49" i="1"/>
  <c r="AA49" i="1"/>
  <c r="AC49" i="1" s="1"/>
  <c r="S49" i="1"/>
  <c r="B49" i="1"/>
  <c r="AK48" i="1"/>
  <c r="AJ48" i="1"/>
  <c r="AE48" i="1"/>
  <c r="AD48" i="1"/>
  <c r="AB48" i="1"/>
  <c r="AA48" i="1"/>
  <c r="AC48" i="1" s="1"/>
  <c r="AH48" i="1" s="1"/>
  <c r="S48" i="1"/>
  <c r="B48" i="1"/>
  <c r="AK47" i="1"/>
  <c r="AJ47" i="1"/>
  <c r="AE47" i="1"/>
  <c r="AH47" i="1" s="1"/>
  <c r="AD47" i="1"/>
  <c r="AC47" i="1"/>
  <c r="AB47" i="1"/>
  <c r="AA47" i="1"/>
  <c r="S47" i="1"/>
  <c r="B47" i="1"/>
  <c r="AO46" i="1"/>
  <c r="AN46" i="1"/>
  <c r="AQ46" i="1" s="1"/>
  <c r="AM46" i="1"/>
  <c r="AP46" i="1" s="1"/>
  <c r="AK46" i="1"/>
  <c r="AJ46" i="1"/>
  <c r="AE46" i="1"/>
  <c r="AD46" i="1"/>
  <c r="AB46" i="1"/>
  <c r="AA46" i="1"/>
  <c r="AC46" i="1" s="1"/>
  <c r="AH46" i="1" s="1"/>
  <c r="S46" i="1"/>
  <c r="B46" i="1"/>
  <c r="AK45" i="1"/>
  <c r="AJ45" i="1"/>
  <c r="AE45" i="1"/>
  <c r="AD45" i="1"/>
  <c r="AC45" i="1"/>
  <c r="AH45" i="1" s="1"/>
  <c r="AB45" i="1"/>
  <c r="AA45" i="1"/>
  <c r="S45" i="1"/>
  <c r="B45" i="1"/>
  <c r="AK44" i="1"/>
  <c r="AJ44" i="1"/>
  <c r="AH44" i="1"/>
  <c r="AE44" i="1"/>
  <c r="AD44" i="1"/>
  <c r="AC44" i="1"/>
  <c r="AB44" i="1"/>
  <c r="AA44" i="1"/>
  <c r="S44" i="1"/>
  <c r="B44" i="1"/>
  <c r="AN43" i="1"/>
  <c r="AQ43" i="1" s="1"/>
  <c r="AM43" i="1"/>
  <c r="AP43" i="1" s="1"/>
  <c r="AK43" i="1"/>
  <c r="AL43" i="1" s="1"/>
  <c r="AJ43" i="1"/>
  <c r="AE43" i="1"/>
  <c r="AD43" i="1"/>
  <c r="AB43" i="1"/>
  <c r="AA43" i="1"/>
  <c r="AC43" i="1" s="1"/>
  <c r="AH43" i="1" s="1"/>
  <c r="S43" i="1"/>
  <c r="B43" i="1"/>
  <c r="AK42" i="1"/>
  <c r="AJ42" i="1"/>
  <c r="AE42" i="1"/>
  <c r="AD42" i="1"/>
  <c r="AB42" i="1"/>
  <c r="AA42" i="1"/>
  <c r="AC42" i="1" s="1"/>
  <c r="S42" i="1"/>
  <c r="B42" i="1"/>
  <c r="AK41" i="1"/>
  <c r="AJ41" i="1"/>
  <c r="AE41" i="1"/>
  <c r="AD41" i="1"/>
  <c r="AC41" i="1"/>
  <c r="AH41" i="1" s="1"/>
  <c r="AB41" i="1"/>
  <c r="AA41" i="1"/>
  <c r="S41" i="1"/>
  <c r="B41" i="1"/>
  <c r="AK40" i="1"/>
  <c r="AJ40" i="1"/>
  <c r="AE40" i="1"/>
  <c r="AD40" i="1"/>
  <c r="AB40" i="1"/>
  <c r="AA40" i="1"/>
  <c r="AC40" i="1" s="1"/>
  <c r="AH40" i="1" s="1"/>
  <c r="S40" i="1"/>
  <c r="B40" i="1"/>
  <c r="AO39" i="1"/>
  <c r="AN39" i="1"/>
  <c r="AQ39" i="1" s="1"/>
  <c r="AM39" i="1"/>
  <c r="AP39" i="1" s="1"/>
  <c r="AL39" i="1"/>
  <c r="AK39" i="1"/>
  <c r="AJ39" i="1"/>
  <c r="AE39" i="1"/>
  <c r="AD39" i="1"/>
  <c r="AB39" i="1"/>
  <c r="AA39" i="1"/>
  <c r="AC39" i="1" s="1"/>
  <c r="AH39" i="1" s="1"/>
  <c r="S39" i="1"/>
  <c r="B39" i="1"/>
  <c r="AO38" i="1"/>
  <c r="AK38" i="1"/>
  <c r="AJ38" i="1"/>
  <c r="AE38" i="1"/>
  <c r="AD38" i="1"/>
  <c r="AB38" i="1"/>
  <c r="AA38" i="1"/>
  <c r="AC38" i="1" s="1"/>
  <c r="AH38" i="1" s="1"/>
  <c r="S38" i="1"/>
  <c r="B38" i="1"/>
  <c r="AK37" i="1"/>
  <c r="AJ37" i="1"/>
  <c r="AE37" i="1"/>
  <c r="AD37" i="1"/>
  <c r="AC37" i="1"/>
  <c r="AH37" i="1" s="1"/>
  <c r="AB37" i="1"/>
  <c r="AA37" i="1"/>
  <c r="S37" i="1"/>
  <c r="B37" i="1"/>
  <c r="AO36" i="1"/>
  <c r="AN36" i="1"/>
  <c r="AQ36" i="1" s="1"/>
  <c r="AM36" i="1"/>
  <c r="AL36" i="1"/>
  <c r="AK36" i="1"/>
  <c r="AJ36" i="1"/>
  <c r="AE36" i="1"/>
  <c r="AD36" i="1"/>
  <c r="AC36" i="1"/>
  <c r="AH36" i="1" s="1"/>
  <c r="AB36" i="1"/>
  <c r="AA36" i="1"/>
  <c r="S36" i="1"/>
  <c r="B36" i="1"/>
  <c r="AK35" i="1"/>
  <c r="AJ35" i="1"/>
  <c r="AE35" i="1"/>
  <c r="AD35" i="1"/>
  <c r="AB35" i="1"/>
  <c r="AA35" i="1"/>
  <c r="AC35" i="1" s="1"/>
  <c r="AH35" i="1" s="1"/>
  <c r="AO35" i="1" s="1"/>
  <c r="S35" i="1"/>
  <c r="B35" i="1"/>
  <c r="AK34" i="1"/>
  <c r="AJ34" i="1"/>
  <c r="AG34" i="1"/>
  <c r="AE34" i="1"/>
  <c r="AD34" i="1"/>
  <c r="AC34" i="1"/>
  <c r="AB34" i="1"/>
  <c r="AA34" i="1"/>
  <c r="S34" i="1"/>
  <c r="B34" i="1"/>
  <c r="AK33" i="1"/>
  <c r="AJ33" i="1"/>
  <c r="AE33" i="1"/>
  <c r="AD33" i="1"/>
  <c r="AB33" i="1"/>
  <c r="AA33" i="1"/>
  <c r="AC33" i="1" s="1"/>
  <c r="AH33" i="1" s="1"/>
  <c r="S33" i="1"/>
  <c r="B33" i="1"/>
  <c r="AK32" i="1"/>
  <c r="AJ32" i="1"/>
  <c r="AG32" i="1"/>
  <c r="AE32" i="1"/>
  <c r="AD32" i="1"/>
  <c r="AB32" i="1"/>
  <c r="AA32" i="1"/>
  <c r="AC32" i="1" s="1"/>
  <c r="S32" i="1"/>
  <c r="B32" i="1"/>
  <c r="AK31" i="1"/>
  <c r="AJ31" i="1"/>
  <c r="AE31" i="1"/>
  <c r="AD31" i="1"/>
  <c r="AB31" i="1"/>
  <c r="AA31" i="1"/>
  <c r="AC31" i="1" s="1"/>
  <c r="AH31" i="1" s="1"/>
  <c r="S31" i="1"/>
  <c r="B31" i="1"/>
  <c r="AK30" i="1"/>
  <c r="AJ30" i="1"/>
  <c r="AE30" i="1"/>
  <c r="AH30" i="1" s="1"/>
  <c r="AD30" i="1"/>
  <c r="AC30" i="1"/>
  <c r="AB30" i="1"/>
  <c r="AA30" i="1"/>
  <c r="S30" i="1"/>
  <c r="B30" i="1"/>
  <c r="AK29" i="1"/>
  <c r="AJ29" i="1"/>
  <c r="AE29" i="1"/>
  <c r="AD29" i="1"/>
  <c r="AC29" i="1"/>
  <c r="AH29" i="1" s="1"/>
  <c r="AB29" i="1"/>
  <c r="AA29" i="1"/>
  <c r="S29" i="1"/>
  <c r="B29" i="1"/>
  <c r="AK28" i="1"/>
  <c r="AJ28" i="1"/>
  <c r="AE28" i="1"/>
  <c r="AD28" i="1"/>
  <c r="AB28" i="1"/>
  <c r="AA28" i="1"/>
  <c r="AC28" i="1" s="1"/>
  <c r="AH28" i="1" s="1"/>
  <c r="S28" i="1"/>
  <c r="B28" i="1"/>
  <c r="AK27" i="1"/>
  <c r="AJ27" i="1"/>
  <c r="AH27" i="1"/>
  <c r="AE27" i="1"/>
  <c r="AD27" i="1"/>
  <c r="AC27" i="1"/>
  <c r="AB27" i="1"/>
  <c r="AA27" i="1"/>
  <c r="S27" i="1"/>
  <c r="B27" i="1"/>
  <c r="AK26" i="1"/>
  <c r="AJ26" i="1"/>
  <c r="AE26" i="1"/>
  <c r="AD26" i="1"/>
  <c r="AC26" i="1"/>
  <c r="AH26" i="1" s="1"/>
  <c r="AO26" i="1" s="1"/>
  <c r="AB26" i="1"/>
  <c r="AA26" i="1"/>
  <c r="S26" i="1"/>
  <c r="B26" i="1"/>
  <c r="AK25" i="1"/>
  <c r="AJ25" i="1"/>
  <c r="AE25" i="1"/>
  <c r="AD25" i="1"/>
  <c r="AB25" i="1"/>
  <c r="AA25" i="1"/>
  <c r="AC25" i="1" s="1"/>
  <c r="AH25" i="1" s="1"/>
  <c r="AO25" i="1" s="1"/>
  <c r="S25" i="1"/>
  <c r="B25" i="1"/>
  <c r="AK24" i="1"/>
  <c r="AJ24" i="1"/>
  <c r="AE24" i="1"/>
  <c r="AD24" i="1"/>
  <c r="AC24" i="1"/>
  <c r="AH24" i="1" s="1"/>
  <c r="AB24" i="1"/>
  <c r="AA24" i="1"/>
  <c r="S24" i="1"/>
  <c r="B24" i="1"/>
  <c r="AK23" i="1"/>
  <c r="AJ23" i="1"/>
  <c r="AE23" i="1"/>
  <c r="AD23" i="1"/>
  <c r="AB23" i="1"/>
  <c r="AA23" i="1"/>
  <c r="AC23" i="1" s="1"/>
  <c r="AH23" i="1" s="1"/>
  <c r="S23" i="1"/>
  <c r="B23" i="1"/>
  <c r="AK22" i="1"/>
  <c r="AJ22" i="1"/>
  <c r="AE22" i="1"/>
  <c r="AD22" i="1"/>
  <c r="AB22" i="1"/>
  <c r="AA22" i="1"/>
  <c r="AC22" i="1" s="1"/>
  <c r="AH22" i="1" s="1"/>
  <c r="S22" i="1"/>
  <c r="B22" i="1"/>
  <c r="AK21" i="1"/>
  <c r="AJ21" i="1"/>
  <c r="AE21" i="1"/>
  <c r="AD21" i="1"/>
  <c r="AC21" i="1"/>
  <c r="AH21" i="1" s="1"/>
  <c r="AB21" i="1"/>
  <c r="AA21" i="1"/>
  <c r="S21" i="1"/>
  <c r="B21" i="1"/>
  <c r="AQ20" i="1"/>
  <c r="AN20" i="1"/>
  <c r="AM20" i="1"/>
  <c r="AP20" i="1" s="1"/>
  <c r="AK20" i="1"/>
  <c r="AJ20" i="1"/>
  <c r="AE20" i="1"/>
  <c r="AD20" i="1"/>
  <c r="AB20" i="1"/>
  <c r="AA20" i="1"/>
  <c r="AC20" i="1" s="1"/>
  <c r="AH20" i="1" s="1"/>
  <c r="S20" i="1"/>
  <c r="B20" i="1"/>
  <c r="AK19" i="1"/>
  <c r="AJ19" i="1"/>
  <c r="AH19" i="1"/>
  <c r="AG19" i="1"/>
  <c r="AE19" i="1"/>
  <c r="AD19" i="1"/>
  <c r="AC19" i="1"/>
  <c r="AB19" i="1"/>
  <c r="AA19" i="1"/>
  <c r="S19" i="1"/>
  <c r="B19" i="1"/>
  <c r="AK18" i="1"/>
  <c r="AJ18" i="1"/>
  <c r="AG18" i="1"/>
  <c r="AH18" i="1" s="1"/>
  <c r="AE18" i="1"/>
  <c r="AD18" i="1"/>
  <c r="AB18" i="1"/>
  <c r="AA18" i="1"/>
  <c r="AC18" i="1" s="1"/>
  <c r="S18" i="1"/>
  <c r="B18" i="1"/>
  <c r="AN17" i="1"/>
  <c r="AQ17" i="1" s="1"/>
  <c r="AK17" i="1"/>
  <c r="AJ17" i="1"/>
  <c r="AG17" i="1"/>
  <c r="AE17" i="1"/>
  <c r="AD17" i="1"/>
  <c r="AB17" i="1"/>
  <c r="AA17" i="1"/>
  <c r="AC17" i="1" s="1"/>
  <c r="AH17" i="1" s="1"/>
  <c r="AO17" i="1" s="1"/>
  <c r="S17" i="1"/>
  <c r="B17" i="1"/>
  <c r="AK16" i="1"/>
  <c r="AJ16" i="1"/>
  <c r="AG16" i="1"/>
  <c r="AE16" i="1"/>
  <c r="AD16" i="1"/>
  <c r="AH16" i="1" s="1"/>
  <c r="AB16" i="1"/>
  <c r="AA16" i="1"/>
  <c r="AC16" i="1" s="1"/>
  <c r="S16" i="1"/>
  <c r="B16" i="1"/>
  <c r="AK15" i="1"/>
  <c r="AJ15" i="1"/>
  <c r="AG15" i="1"/>
  <c r="AE15" i="1"/>
  <c r="AD15" i="1"/>
  <c r="AC15" i="1"/>
  <c r="AH15" i="1" s="1"/>
  <c r="AM15" i="1" s="1"/>
  <c r="AP15" i="1" s="1"/>
  <c r="AB15" i="1"/>
  <c r="AA15" i="1"/>
  <c r="S15" i="1"/>
  <c r="B15" i="1"/>
  <c r="AK14" i="1"/>
  <c r="AJ14" i="1"/>
  <c r="AG14" i="1"/>
  <c r="AE14" i="1"/>
  <c r="AD14" i="1"/>
  <c r="AB14" i="1"/>
  <c r="AA14" i="1"/>
  <c r="AC14" i="1" s="1"/>
  <c r="S14" i="1"/>
  <c r="B14" i="1"/>
  <c r="AK13" i="1"/>
  <c r="AJ13" i="1"/>
  <c r="AE13" i="1"/>
  <c r="AD13" i="1"/>
  <c r="AB13" i="1"/>
  <c r="AA13" i="1"/>
  <c r="AC13" i="1" s="1"/>
  <c r="AH13" i="1" s="1"/>
  <c r="S13" i="1"/>
  <c r="B13" i="1"/>
  <c r="AO12" i="1"/>
  <c r="AK12" i="1"/>
  <c r="AJ12" i="1"/>
  <c r="AE12" i="1"/>
  <c r="AD12" i="1"/>
  <c r="AC12" i="1"/>
  <c r="AH12" i="1" s="1"/>
  <c r="AM12" i="1" s="1"/>
  <c r="AP12" i="1" s="1"/>
  <c r="AB12" i="1"/>
  <c r="AA12" i="1"/>
  <c r="S12" i="1"/>
  <c r="B12" i="1"/>
  <c r="AK11" i="1"/>
  <c r="AJ11" i="1"/>
  <c r="AG11" i="1"/>
  <c r="AE11" i="1"/>
  <c r="AD11" i="1"/>
  <c r="AC11" i="1"/>
  <c r="AB11" i="1"/>
  <c r="AA11" i="1"/>
  <c r="S11" i="1"/>
  <c r="B11" i="1"/>
  <c r="AK10" i="1"/>
  <c r="AJ10" i="1"/>
  <c r="AH10" i="1"/>
  <c r="AG10" i="1"/>
  <c r="AE10" i="1"/>
  <c r="AD10" i="1"/>
  <c r="AC10" i="1"/>
  <c r="AB10" i="1"/>
  <c r="AA10" i="1"/>
  <c r="S10" i="1"/>
  <c r="B10" i="1"/>
  <c r="AK9" i="1"/>
  <c r="AJ9" i="1"/>
  <c r="AG9" i="1"/>
  <c r="AE9" i="1"/>
  <c r="AD9" i="1"/>
  <c r="AB9" i="1"/>
  <c r="AA9" i="1"/>
  <c r="AC9" i="1" s="1"/>
  <c r="S9" i="1"/>
  <c r="B9" i="1"/>
  <c r="AK8" i="1"/>
  <c r="AJ8" i="1"/>
  <c r="AG8" i="1"/>
  <c r="AE8" i="1"/>
  <c r="AH8" i="1" s="1"/>
  <c r="AD8" i="1"/>
  <c r="AC8" i="1"/>
  <c r="AB8" i="1"/>
  <c r="AA8" i="1"/>
  <c r="S8" i="1"/>
  <c r="B8" i="1"/>
  <c r="AO7" i="1"/>
  <c r="AK7" i="1"/>
  <c r="AJ7" i="1"/>
  <c r="AG7" i="1"/>
  <c r="AE7" i="1"/>
  <c r="AD7" i="1"/>
  <c r="AB7" i="1"/>
  <c r="AA7" i="1"/>
  <c r="AC7" i="1" s="1"/>
  <c r="AH7" i="1" s="1"/>
  <c r="AN7" i="1" s="1"/>
  <c r="AQ7" i="1" s="1"/>
  <c r="S7" i="1"/>
  <c r="B7" i="1"/>
  <c r="AK6" i="1"/>
  <c r="AJ6" i="1"/>
  <c r="AH6" i="1"/>
  <c r="AE6" i="1"/>
  <c r="AD6" i="1"/>
  <c r="AC6" i="1"/>
  <c r="AB6" i="1"/>
  <c r="AA6" i="1"/>
  <c r="S6" i="1"/>
  <c r="B6" i="1"/>
  <c r="AN5" i="1"/>
  <c r="AQ5" i="1" s="1"/>
  <c r="AM5" i="1"/>
  <c r="AP5" i="1" s="1"/>
  <c r="AK5" i="1"/>
  <c r="AL5" i="1" s="1"/>
  <c r="AJ5" i="1"/>
  <c r="AE5" i="1"/>
  <c r="AC5" i="1"/>
  <c r="AH5" i="1" s="1"/>
  <c r="AB5" i="1"/>
  <c r="AA5" i="1"/>
  <c r="S5" i="1"/>
  <c r="B5" i="1"/>
  <c r="AN156" i="1" l="1"/>
  <c r="AQ156" i="1" s="1"/>
  <c r="AL17" i="1"/>
  <c r="AH73" i="1"/>
  <c r="AO73" i="1" s="1"/>
  <c r="AM17" i="1"/>
  <c r="AP17" i="1" s="1"/>
  <c r="AH32" i="1"/>
  <c r="AM32" i="1" s="1"/>
  <c r="AP32" i="1" s="1"/>
  <c r="AH82" i="1"/>
  <c r="AH86" i="1"/>
  <c r="AH102" i="1"/>
  <c r="AH128" i="1"/>
  <c r="AL152" i="1"/>
  <c r="AH77" i="1"/>
  <c r="AH81" i="1"/>
  <c r="AM81" i="1" s="1"/>
  <c r="AP81" i="1" s="1"/>
  <c r="AH85" i="1"/>
  <c r="AN85" i="1" s="1"/>
  <c r="AQ85" i="1" s="1"/>
  <c r="AH110" i="1"/>
  <c r="AH116" i="1"/>
  <c r="AN152" i="1"/>
  <c r="AQ152" i="1" s="1"/>
  <c r="AH80" i="1"/>
  <c r="AH94" i="1"/>
  <c r="AN15" i="1"/>
  <c r="AQ15" i="1" s="1"/>
  <c r="AL20" i="1"/>
  <c r="AL46" i="1"/>
  <c r="AH67" i="1"/>
  <c r="AH75" i="1"/>
  <c r="AM91" i="1"/>
  <c r="AP91" i="1" s="1"/>
  <c r="AL126" i="1"/>
  <c r="AH131" i="1"/>
  <c r="AN131" i="1" s="1"/>
  <c r="AQ131" i="1" s="1"/>
  <c r="AL145" i="1"/>
  <c r="AM7" i="1"/>
  <c r="AP7" i="1" s="1"/>
  <c r="AH11" i="1"/>
  <c r="AL11" i="1" s="1"/>
  <c r="AH34" i="1"/>
  <c r="AL34" i="1" s="1"/>
  <c r="AL70" i="1"/>
  <c r="AH79" i="1"/>
  <c r="AL117" i="1"/>
  <c r="AH125" i="1"/>
  <c r="AL125" i="1" s="1"/>
  <c r="AH9" i="1"/>
  <c r="AN9" i="1" s="1"/>
  <c r="AQ9" i="1" s="1"/>
  <c r="AH14" i="1"/>
  <c r="AO14" i="1" s="1"/>
  <c r="AH65" i="1"/>
  <c r="AO65" i="1" s="1"/>
  <c r="AH66" i="1"/>
  <c r="AO66" i="1" s="1"/>
  <c r="AO34" i="1"/>
  <c r="AN34" i="1"/>
  <c r="AQ34" i="1" s="1"/>
  <c r="AM34" i="1"/>
  <c r="AP34" i="1" s="1"/>
  <c r="AM40" i="1"/>
  <c r="AP40" i="1" s="1"/>
  <c r="AL40" i="1"/>
  <c r="AO40" i="1"/>
  <c r="AN40" i="1"/>
  <c r="AQ40" i="1" s="1"/>
  <c r="AO30" i="1"/>
  <c r="AM30" i="1"/>
  <c r="AP30" i="1" s="1"/>
  <c r="AL30" i="1"/>
  <c r="AN30" i="1"/>
  <c r="AQ30" i="1" s="1"/>
  <c r="AM33" i="1"/>
  <c r="AP33" i="1" s="1"/>
  <c r="AL33" i="1"/>
  <c r="AO33" i="1"/>
  <c r="AN33" i="1"/>
  <c r="AQ33" i="1" s="1"/>
  <c r="AL45" i="1"/>
  <c r="AN45" i="1"/>
  <c r="AQ45" i="1" s="1"/>
  <c r="AM45" i="1"/>
  <c r="AP45" i="1" s="1"/>
  <c r="AO45" i="1"/>
  <c r="AR45" i="1" s="1"/>
  <c r="AM86" i="1"/>
  <c r="AP86" i="1" s="1"/>
  <c r="AL86" i="1"/>
  <c r="AO86" i="1"/>
  <c r="AN86" i="1"/>
  <c r="AQ86" i="1" s="1"/>
  <c r="AL55" i="1"/>
  <c r="AO55" i="1"/>
  <c r="AN55" i="1"/>
  <c r="AQ55" i="1" s="1"/>
  <c r="AM55" i="1"/>
  <c r="AP55" i="1" s="1"/>
  <c r="AO60" i="1"/>
  <c r="AR60" i="1" s="1"/>
  <c r="AM60" i="1"/>
  <c r="AP60" i="1" s="1"/>
  <c r="AL60" i="1"/>
  <c r="AN60" i="1"/>
  <c r="AQ60" i="1" s="1"/>
  <c r="AM119" i="1"/>
  <c r="AP119" i="1" s="1"/>
  <c r="AO119" i="1"/>
  <c r="AN119" i="1"/>
  <c r="AQ119" i="1" s="1"/>
  <c r="AL119" i="1"/>
  <c r="AM62" i="1"/>
  <c r="AP62" i="1" s="1"/>
  <c r="AO62" i="1"/>
  <c r="AN62" i="1"/>
  <c r="AQ62" i="1" s="1"/>
  <c r="AL62" i="1"/>
  <c r="AL111" i="1"/>
  <c r="AN111" i="1"/>
  <c r="AQ111" i="1" s="1"/>
  <c r="AM111" i="1"/>
  <c r="AP111" i="1" s="1"/>
  <c r="AO111" i="1"/>
  <c r="AM118" i="1"/>
  <c r="AP118" i="1" s="1"/>
  <c r="AL118" i="1"/>
  <c r="AN118" i="1"/>
  <c r="AQ118" i="1" s="1"/>
  <c r="AO118" i="1"/>
  <c r="AM82" i="1"/>
  <c r="AP82" i="1" s="1"/>
  <c r="AL82" i="1"/>
  <c r="AO82" i="1"/>
  <c r="AN82" i="1"/>
  <c r="AQ82" i="1" s="1"/>
  <c r="AL132" i="1"/>
  <c r="AO132" i="1"/>
  <c r="AN132" i="1"/>
  <c r="AQ132" i="1" s="1"/>
  <c r="AM132" i="1"/>
  <c r="AP132" i="1" s="1"/>
  <c r="AN13" i="1"/>
  <c r="AQ13" i="1" s="1"/>
  <c r="AM13" i="1"/>
  <c r="AP13" i="1" s="1"/>
  <c r="AL13" i="1"/>
  <c r="AP36" i="1"/>
  <c r="AR36" i="1"/>
  <c r="AO8" i="1"/>
  <c r="AM8" i="1"/>
  <c r="AP8" i="1" s="1"/>
  <c r="AL8" i="1"/>
  <c r="AN8" i="1"/>
  <c r="AQ8" i="1" s="1"/>
  <c r="AO28" i="1"/>
  <c r="AN28" i="1"/>
  <c r="AQ28" i="1" s="1"/>
  <c r="AM28" i="1"/>
  <c r="AP28" i="1" s="1"/>
  <c r="AL28" i="1"/>
  <c r="AN38" i="1"/>
  <c r="AQ38" i="1" s="1"/>
  <c r="AM38" i="1"/>
  <c r="AP38" i="1" s="1"/>
  <c r="AL38" i="1"/>
  <c r="AO48" i="1"/>
  <c r="AN48" i="1"/>
  <c r="AQ48" i="1" s="1"/>
  <c r="AM48" i="1"/>
  <c r="AP48" i="1" s="1"/>
  <c r="AR48" i="1"/>
  <c r="AL48" i="1"/>
  <c r="AL96" i="1"/>
  <c r="AR96" i="1"/>
  <c r="AN96" i="1"/>
  <c r="AQ96" i="1" s="1"/>
  <c r="AO96" i="1"/>
  <c r="AM96" i="1"/>
  <c r="AP96" i="1" s="1"/>
  <c r="AL128" i="1"/>
  <c r="AO128" i="1"/>
  <c r="AN128" i="1"/>
  <c r="AQ128" i="1" s="1"/>
  <c r="AM128" i="1"/>
  <c r="AP128" i="1" s="1"/>
  <c r="AO24" i="1"/>
  <c r="AM24" i="1"/>
  <c r="AP24" i="1" s="1"/>
  <c r="AN24" i="1"/>
  <c r="AQ24" i="1" s="1"/>
  <c r="AL24" i="1"/>
  <c r="AR44" i="1"/>
  <c r="AO44" i="1"/>
  <c r="AN44" i="1"/>
  <c r="AQ44" i="1" s="1"/>
  <c r="AM44" i="1"/>
  <c r="AP44" i="1" s="1"/>
  <c r="AL44" i="1"/>
  <c r="AO6" i="1"/>
  <c r="AM6" i="1"/>
  <c r="AP6" i="1" s="1"/>
  <c r="AN6" i="1"/>
  <c r="AQ6" i="1" s="1"/>
  <c r="AL6" i="1"/>
  <c r="AR6" i="1"/>
  <c r="AL31" i="1"/>
  <c r="AO31" i="1"/>
  <c r="AN31" i="1"/>
  <c r="AQ31" i="1" s="1"/>
  <c r="AM31" i="1"/>
  <c r="AP31" i="1" s="1"/>
  <c r="AN57" i="1"/>
  <c r="AQ57" i="1" s="1"/>
  <c r="AM57" i="1"/>
  <c r="AP57" i="1" s="1"/>
  <c r="AL57" i="1"/>
  <c r="AO57" i="1"/>
  <c r="AR61" i="1"/>
  <c r="AN61" i="1"/>
  <c r="AQ61" i="1" s="1"/>
  <c r="AM61" i="1"/>
  <c r="AP61" i="1" s="1"/>
  <c r="AO61" i="1"/>
  <c r="AL61" i="1"/>
  <c r="AO71" i="1"/>
  <c r="AN71" i="1"/>
  <c r="AQ71" i="1" s="1"/>
  <c r="AR71" i="1"/>
  <c r="AM71" i="1"/>
  <c r="AP71" i="1" s="1"/>
  <c r="AL71" i="1"/>
  <c r="AR76" i="1"/>
  <c r="AN76" i="1"/>
  <c r="AQ76" i="1" s="1"/>
  <c r="AM76" i="1"/>
  <c r="AP76" i="1" s="1"/>
  <c r="AO76" i="1"/>
  <c r="AL76" i="1"/>
  <c r="AN98" i="1"/>
  <c r="AQ98" i="1" s="1"/>
  <c r="AM98" i="1"/>
  <c r="AP98" i="1" s="1"/>
  <c r="AO98" i="1"/>
  <c r="AL98" i="1"/>
  <c r="AR98" i="1"/>
  <c r="AM142" i="1"/>
  <c r="AP142" i="1" s="1"/>
  <c r="AL142" i="1"/>
  <c r="AO142" i="1"/>
  <c r="AN142" i="1"/>
  <c r="AQ142" i="1" s="1"/>
  <c r="AM9" i="1"/>
  <c r="AP9" i="1" s="1"/>
  <c r="AO9" i="1"/>
  <c r="AO68" i="1"/>
  <c r="AN68" i="1"/>
  <c r="AQ68" i="1" s="1"/>
  <c r="AL68" i="1"/>
  <c r="AM68" i="1"/>
  <c r="AP68" i="1" s="1"/>
  <c r="AN87" i="1"/>
  <c r="AQ87" i="1" s="1"/>
  <c r="AM87" i="1"/>
  <c r="AP87" i="1" s="1"/>
  <c r="AL87" i="1"/>
  <c r="AO87" i="1"/>
  <c r="AM88" i="1"/>
  <c r="AP88" i="1" s="1"/>
  <c r="AL88" i="1"/>
  <c r="AN88" i="1"/>
  <c r="AQ88" i="1" s="1"/>
  <c r="AO88" i="1"/>
  <c r="AR88" i="1" s="1"/>
  <c r="AM113" i="1"/>
  <c r="AP113" i="1" s="1"/>
  <c r="AO113" i="1"/>
  <c r="AN113" i="1"/>
  <c r="AQ113" i="1" s="1"/>
  <c r="AL113" i="1"/>
  <c r="AL130" i="1"/>
  <c r="AN130" i="1"/>
  <c r="AQ130" i="1" s="1"/>
  <c r="AO130" i="1"/>
  <c r="AM130" i="1"/>
  <c r="AP130" i="1" s="1"/>
  <c r="AR133" i="1"/>
  <c r="AL133" i="1"/>
  <c r="AO133" i="1"/>
  <c r="AM133" i="1"/>
  <c r="AP133" i="1" s="1"/>
  <c r="AN133" i="1"/>
  <c r="AQ133" i="1" s="1"/>
  <c r="AO16" i="1"/>
  <c r="AN16" i="1"/>
  <c r="AQ16" i="1" s="1"/>
  <c r="AM16" i="1"/>
  <c r="AP16" i="1" s="1"/>
  <c r="AL16" i="1"/>
  <c r="AM19" i="1"/>
  <c r="AP19" i="1" s="1"/>
  <c r="AL19" i="1"/>
  <c r="AO19" i="1"/>
  <c r="AN19" i="1"/>
  <c r="AQ19" i="1" s="1"/>
  <c r="AO41" i="1"/>
  <c r="AN41" i="1"/>
  <c r="AQ41" i="1" s="1"/>
  <c r="AM41" i="1"/>
  <c r="AP41" i="1" s="1"/>
  <c r="AR41" i="1"/>
  <c r="AL41" i="1"/>
  <c r="AN47" i="1"/>
  <c r="AQ47" i="1" s="1"/>
  <c r="AM47" i="1"/>
  <c r="AP47" i="1" s="1"/>
  <c r="AO47" i="1"/>
  <c r="AR47" i="1" s="1"/>
  <c r="AL47" i="1"/>
  <c r="AO93" i="1"/>
  <c r="AM93" i="1"/>
  <c r="AP93" i="1" s="1"/>
  <c r="AL93" i="1"/>
  <c r="AN93" i="1"/>
  <c r="AQ93" i="1" s="1"/>
  <c r="AO108" i="1"/>
  <c r="AN108" i="1"/>
  <c r="AQ108" i="1" s="1"/>
  <c r="AL108" i="1"/>
  <c r="AM108" i="1"/>
  <c r="AP108" i="1" s="1"/>
  <c r="AR108" i="1"/>
  <c r="AR18" i="1"/>
  <c r="AO18" i="1"/>
  <c r="AM18" i="1"/>
  <c r="AP18" i="1" s="1"/>
  <c r="AL18" i="1"/>
  <c r="AN18" i="1"/>
  <c r="AQ18" i="1" s="1"/>
  <c r="AM22" i="1"/>
  <c r="AP22" i="1" s="1"/>
  <c r="AL22" i="1"/>
  <c r="AO22" i="1"/>
  <c r="AN22" i="1"/>
  <c r="AQ22" i="1" s="1"/>
  <c r="AO52" i="1"/>
  <c r="AN52" i="1"/>
  <c r="AQ52" i="1" s="1"/>
  <c r="AM52" i="1"/>
  <c r="AP52" i="1" s="1"/>
  <c r="AL52" i="1"/>
  <c r="AO56" i="1"/>
  <c r="AN56" i="1"/>
  <c r="AQ56" i="1" s="1"/>
  <c r="AL56" i="1"/>
  <c r="AM56" i="1"/>
  <c r="AP56" i="1" s="1"/>
  <c r="AR56" i="1"/>
  <c r="AM112" i="1"/>
  <c r="AP112" i="1" s="1"/>
  <c r="AL112" i="1"/>
  <c r="AN112" i="1"/>
  <c r="AQ112" i="1" s="1"/>
  <c r="AO112" i="1"/>
  <c r="AR112" i="1" s="1"/>
  <c r="AM21" i="1"/>
  <c r="AP21" i="1" s="1"/>
  <c r="AO21" i="1"/>
  <c r="AL21" i="1"/>
  <c r="AN21" i="1"/>
  <c r="AQ21" i="1" s="1"/>
  <c r="AN80" i="1"/>
  <c r="AQ80" i="1" s="1"/>
  <c r="AM80" i="1"/>
  <c r="AP80" i="1" s="1"/>
  <c r="AO80" i="1"/>
  <c r="AL80" i="1"/>
  <c r="AO89" i="1"/>
  <c r="AN89" i="1"/>
  <c r="AQ89" i="1" s="1"/>
  <c r="AM89" i="1"/>
  <c r="AP89" i="1" s="1"/>
  <c r="AL89" i="1"/>
  <c r="AO13" i="1"/>
  <c r="AO23" i="1"/>
  <c r="AN23" i="1"/>
  <c r="AQ23" i="1" s="1"/>
  <c r="AM23" i="1"/>
  <c r="AP23" i="1" s="1"/>
  <c r="AL23" i="1"/>
  <c r="AO101" i="1"/>
  <c r="AR101" i="1" s="1"/>
  <c r="AN101" i="1"/>
  <c r="AQ101" i="1" s="1"/>
  <c r="AL101" i="1"/>
  <c r="AM101" i="1"/>
  <c r="AP101" i="1" s="1"/>
  <c r="AO37" i="1"/>
  <c r="AN37" i="1"/>
  <c r="AQ37" i="1" s="1"/>
  <c r="AL37" i="1"/>
  <c r="AM37" i="1"/>
  <c r="AP37" i="1" s="1"/>
  <c r="AN95" i="1"/>
  <c r="AQ95" i="1" s="1"/>
  <c r="AM95" i="1"/>
  <c r="AP95" i="1" s="1"/>
  <c r="AO95" i="1"/>
  <c r="AL95" i="1"/>
  <c r="AM83" i="1"/>
  <c r="AL83" i="1"/>
  <c r="AN83" i="1"/>
  <c r="AQ83" i="1" s="1"/>
  <c r="AO100" i="1"/>
  <c r="AN100" i="1"/>
  <c r="AQ100" i="1" s="1"/>
  <c r="AM100" i="1"/>
  <c r="AP100" i="1" s="1"/>
  <c r="AN105" i="1"/>
  <c r="AQ105" i="1" s="1"/>
  <c r="AM105" i="1"/>
  <c r="AP105" i="1" s="1"/>
  <c r="AM115" i="1"/>
  <c r="AP115" i="1" s="1"/>
  <c r="AL115" i="1"/>
  <c r="AO10" i="1"/>
  <c r="AN10" i="1"/>
  <c r="AQ10" i="1" s="1"/>
  <c r="AO15" i="1"/>
  <c r="AR15" i="1" s="1"/>
  <c r="AR70" i="1"/>
  <c r="AO85" i="1"/>
  <c r="AM97" i="1"/>
  <c r="AP97" i="1" s="1"/>
  <c r="AL97" i="1"/>
  <c r="AN97" i="1"/>
  <c r="AQ97" i="1" s="1"/>
  <c r="AO97" i="1"/>
  <c r="AL105" i="1"/>
  <c r="AL110" i="1"/>
  <c r="AO27" i="1"/>
  <c r="AM27" i="1"/>
  <c r="AP27" i="1" s="1"/>
  <c r="AL27" i="1"/>
  <c r="AR39" i="1"/>
  <c r="AH42" i="1"/>
  <c r="AR54" i="1"/>
  <c r="AO64" i="1"/>
  <c r="AM64" i="1"/>
  <c r="AP64" i="1" s="1"/>
  <c r="AL64" i="1"/>
  <c r="AR64" i="1"/>
  <c r="AR74" i="1"/>
  <c r="AN74" i="1"/>
  <c r="AQ74" i="1" s="1"/>
  <c r="AM74" i="1"/>
  <c r="AP74" i="1" s="1"/>
  <c r="AL74" i="1"/>
  <c r="AO105" i="1"/>
  <c r="AM114" i="1"/>
  <c r="AL114" i="1"/>
  <c r="AN114" i="1"/>
  <c r="AQ114" i="1" s="1"/>
  <c r="AM116" i="1"/>
  <c r="AP116" i="1" s="1"/>
  <c r="AL116" i="1"/>
  <c r="AO137" i="1"/>
  <c r="AN137" i="1"/>
  <c r="AQ137" i="1" s="1"/>
  <c r="AM137" i="1"/>
  <c r="AP137" i="1" s="1"/>
  <c r="AH148" i="1"/>
  <c r="AO125" i="1"/>
  <c r="AM125" i="1"/>
  <c r="AP125" i="1" s="1"/>
  <c r="AN125" i="1"/>
  <c r="AQ125" i="1" s="1"/>
  <c r="AO126" i="1"/>
  <c r="AN126" i="1"/>
  <c r="AQ126" i="1" s="1"/>
  <c r="AM126" i="1"/>
  <c r="AP126" i="1" s="1"/>
  <c r="AR126" i="1"/>
  <c r="AM79" i="1"/>
  <c r="AP79" i="1" s="1"/>
  <c r="AL79" i="1"/>
  <c r="AL7" i="1"/>
  <c r="AR7" i="1"/>
  <c r="AL10" i="1"/>
  <c r="AL32" i="1"/>
  <c r="AN120" i="1"/>
  <c r="AQ120" i="1" s="1"/>
  <c r="AM120" i="1"/>
  <c r="AP120" i="1" s="1"/>
  <c r="AL120" i="1"/>
  <c r="AO120" i="1"/>
  <c r="AM10" i="1"/>
  <c r="AP10" i="1" s="1"/>
  <c r="AN27" i="1"/>
  <c r="AQ27" i="1" s="1"/>
  <c r="AM29" i="1"/>
  <c r="AP29" i="1" s="1"/>
  <c r="AO83" i="1"/>
  <c r="AL84" i="1"/>
  <c r="AR100" i="1"/>
  <c r="AR104" i="1"/>
  <c r="AL104" i="1"/>
  <c r="AH147" i="1"/>
  <c r="AN153" i="1"/>
  <c r="AQ153" i="1" s="1"/>
  <c r="AM153" i="1"/>
  <c r="AP153" i="1" s="1"/>
  <c r="AL153" i="1"/>
  <c r="AO154" i="1"/>
  <c r="AM154" i="1"/>
  <c r="AL155" i="1"/>
  <c r="AO155" i="1"/>
  <c r="AN155" i="1"/>
  <c r="AQ155" i="1" s="1"/>
  <c r="AM155" i="1"/>
  <c r="AP155" i="1" s="1"/>
  <c r="AM99" i="1"/>
  <c r="AP99" i="1" s="1"/>
  <c r="AL99" i="1"/>
  <c r="AO102" i="1"/>
  <c r="AN102" i="1"/>
  <c r="AQ102" i="1" s="1"/>
  <c r="AM102" i="1"/>
  <c r="AP102" i="1" s="1"/>
  <c r="AL102" i="1"/>
  <c r="AN123" i="1"/>
  <c r="AQ123" i="1" s="1"/>
  <c r="AO123" i="1"/>
  <c r="AR123" i="1" s="1"/>
  <c r="AL123" i="1"/>
  <c r="AL25" i="1"/>
  <c r="AN145" i="1"/>
  <c r="AQ145" i="1" s="1"/>
  <c r="AM145" i="1"/>
  <c r="AP145" i="1" s="1"/>
  <c r="AO145" i="1"/>
  <c r="AR145" i="1" s="1"/>
  <c r="AO124" i="1"/>
  <c r="AN124" i="1"/>
  <c r="AQ124" i="1" s="1"/>
  <c r="AM124" i="1"/>
  <c r="AP124" i="1" s="1"/>
  <c r="AL124" i="1"/>
  <c r="AR121" i="1"/>
  <c r="AO144" i="1"/>
  <c r="AN144" i="1"/>
  <c r="AQ144" i="1" s="1"/>
  <c r="AM144" i="1"/>
  <c r="AP144" i="1" s="1"/>
  <c r="AL144" i="1"/>
  <c r="AL149" i="1"/>
  <c r="AO149" i="1"/>
  <c r="AM149" i="1"/>
  <c r="AP149" i="1" s="1"/>
  <c r="AN149" i="1"/>
  <c r="AQ149" i="1" s="1"/>
  <c r="A5" i="1" a="1"/>
  <c r="AR63" i="1"/>
  <c r="AL63" i="1"/>
  <c r="AL75" i="1"/>
  <c r="AN78" i="1"/>
  <c r="AQ78" i="1" s="1"/>
  <c r="AM78" i="1"/>
  <c r="AP78" i="1" s="1"/>
  <c r="AL78" i="1"/>
  <c r="AL94" i="1"/>
  <c r="AR17" i="1"/>
  <c r="AM25" i="1"/>
  <c r="AP25" i="1" s="1"/>
  <c r="AR43" i="1"/>
  <c r="AO43" i="1"/>
  <c r="AR51" i="1"/>
  <c r="AO51" i="1"/>
  <c r="AN73" i="1"/>
  <c r="AQ73" i="1" s="1"/>
  <c r="AM73" i="1"/>
  <c r="AP73" i="1" s="1"/>
  <c r="AL73" i="1"/>
  <c r="AL127" i="1"/>
  <c r="AN134" i="1"/>
  <c r="AQ134" i="1" s="1"/>
  <c r="AL134" i="1"/>
  <c r="AM134" i="1"/>
  <c r="AP134" i="1" s="1"/>
  <c r="AO134" i="1"/>
  <c r="AN143" i="1"/>
  <c r="AQ143" i="1" s="1"/>
  <c r="AL143" i="1"/>
  <c r="AO143" i="1"/>
  <c r="AM143" i="1"/>
  <c r="AP143" i="1" s="1"/>
  <c r="AO5" i="1"/>
  <c r="AR5" i="1" s="1"/>
  <c r="AR46" i="1"/>
  <c r="AM50" i="1"/>
  <c r="AP50" i="1" s="1"/>
  <c r="AN50" i="1"/>
  <c r="AQ50" i="1" s="1"/>
  <c r="AL50" i="1"/>
  <c r="AL53" i="1"/>
  <c r="AO53" i="1"/>
  <c r="AN53" i="1"/>
  <c r="AQ53" i="1" s="1"/>
  <c r="AM53" i="1"/>
  <c r="AO58" i="1"/>
  <c r="AN58" i="1"/>
  <c r="AQ58" i="1" s="1"/>
  <c r="AM69" i="1"/>
  <c r="AP69" i="1" s="1"/>
  <c r="AL69" i="1"/>
  <c r="AO69" i="1"/>
  <c r="AN69" i="1"/>
  <c r="AQ69" i="1" s="1"/>
  <c r="AL77" i="1"/>
  <c r="AO77" i="1"/>
  <c r="AN77" i="1"/>
  <c r="AQ77" i="1" s="1"/>
  <c r="AM77" i="1"/>
  <c r="AP77" i="1" s="1"/>
  <c r="AH151" i="1"/>
  <c r="AL12" i="1"/>
  <c r="AO20" i="1"/>
  <c r="AR20" i="1" s="1"/>
  <c r="AN29" i="1"/>
  <c r="AQ29" i="1" s="1"/>
  <c r="AN32" i="1"/>
  <c r="AQ32" i="1" s="1"/>
  <c r="AR49" i="1"/>
  <c r="AL49" i="1"/>
  <c r="AM63" i="1"/>
  <c r="AP63" i="1" s="1"/>
  <c r="AO78" i="1"/>
  <c r="AN79" i="1"/>
  <c r="AQ79" i="1" s="1"/>
  <c r="AH103" i="1"/>
  <c r="AH107" i="1"/>
  <c r="AO106" i="1"/>
  <c r="AM106" i="1"/>
  <c r="AP106" i="1" s="1"/>
  <c r="AL106" i="1"/>
  <c r="AM11" i="1"/>
  <c r="AP11" i="1" s="1"/>
  <c r="AO11" i="1"/>
  <c r="AN11" i="1"/>
  <c r="AQ11" i="1" s="1"/>
  <c r="AM26" i="1"/>
  <c r="AP26" i="1" s="1"/>
  <c r="AL26" i="1"/>
  <c r="AO84" i="1"/>
  <c r="AR12" i="1"/>
  <c r="AN35" i="1"/>
  <c r="AQ35" i="1" s="1"/>
  <c r="AM35" i="1"/>
  <c r="AL35" i="1"/>
  <c r="AL109" i="1"/>
  <c r="AM109" i="1"/>
  <c r="AP109" i="1" s="1"/>
  <c r="AO99" i="1"/>
  <c r="AL100" i="1"/>
  <c r="AR102" i="1"/>
  <c r="AN25" i="1"/>
  <c r="AQ25" i="1" s="1"/>
  <c r="AN26" i="1"/>
  <c r="AQ26" i="1" s="1"/>
  <c r="AL29" i="1"/>
  <c r="AR11" i="1"/>
  <c r="AN12" i="1"/>
  <c r="AQ12" i="1" s="1"/>
  <c r="AL15" i="1"/>
  <c r="AO29" i="1"/>
  <c r="AO32" i="1"/>
  <c r="AN63" i="1"/>
  <c r="AQ63" i="1" s="1"/>
  <c r="AN64" i="1"/>
  <c r="AQ64" i="1" s="1"/>
  <c r="AL67" i="1"/>
  <c r="AM75" i="1"/>
  <c r="AP75" i="1" s="1"/>
  <c r="AO79" i="1"/>
  <c r="AN81" i="1"/>
  <c r="AQ81" i="1" s="1"/>
  <c r="AN84" i="1"/>
  <c r="AQ84" i="1" s="1"/>
  <c r="AO91" i="1"/>
  <c r="AL91" i="1"/>
  <c r="AM94" i="1"/>
  <c r="AP94" i="1" s="1"/>
  <c r="AO109" i="1"/>
  <c r="AR109" i="1" s="1"/>
  <c r="AM110" i="1"/>
  <c r="AP110" i="1" s="1"/>
  <c r="AN115" i="1"/>
  <c r="AQ115" i="1" s="1"/>
  <c r="AM117" i="1"/>
  <c r="AP117" i="1" s="1"/>
  <c r="AO117" i="1"/>
  <c r="AN117" i="1"/>
  <c r="AQ117" i="1" s="1"/>
  <c r="AR136" i="1"/>
  <c r="AN136" i="1"/>
  <c r="AQ136" i="1" s="1"/>
  <c r="AL136" i="1"/>
  <c r="AH146" i="1"/>
  <c r="AM150" i="1"/>
  <c r="AP150" i="1" s="1"/>
  <c r="AO150" i="1"/>
  <c r="AN150" i="1"/>
  <c r="AQ150" i="1" s="1"/>
  <c r="AL150" i="1"/>
  <c r="AO131" i="1"/>
  <c r="AM131" i="1"/>
  <c r="AL131" i="1"/>
  <c r="AH90" i="1"/>
  <c r="AN138" i="1"/>
  <c r="AQ138" i="1" s="1"/>
  <c r="AO138" i="1"/>
  <c r="AM138" i="1"/>
  <c r="AH139" i="1"/>
  <c r="AO129" i="1"/>
  <c r="AN129" i="1"/>
  <c r="AQ129" i="1" s="1"/>
  <c r="AM129" i="1"/>
  <c r="AP129" i="1" s="1"/>
  <c r="AO135" i="1"/>
  <c r="AN135" i="1"/>
  <c r="AM141" i="1"/>
  <c r="AP141" i="1" s="1"/>
  <c r="AH59" i="1"/>
  <c r="AH140" i="1"/>
  <c r="AM152" i="1"/>
  <c r="AP152" i="1" s="1"/>
  <c r="AH72" i="1"/>
  <c r="AH92" i="1"/>
  <c r="AO121" i="1"/>
  <c r="AM121" i="1"/>
  <c r="AP121" i="1" s="1"/>
  <c r="AN121" i="1"/>
  <c r="AQ121" i="1" s="1"/>
  <c r="AL121" i="1"/>
  <c r="AH122" i="1"/>
  <c r="AO127" i="1"/>
  <c r="AM127" i="1"/>
  <c r="AP127" i="1" s="1"/>
  <c r="AL135" i="1"/>
  <c r="AL85" i="1" l="1"/>
  <c r="AM85" i="1"/>
  <c r="AP85" i="1" s="1"/>
  <c r="AN75" i="1"/>
  <c r="AQ75" i="1" s="1"/>
  <c r="AO75" i="1"/>
  <c r="AM67" i="1"/>
  <c r="AO67" i="1"/>
  <c r="AN67" i="1"/>
  <c r="AQ67" i="1" s="1"/>
  <c r="AR79" i="1"/>
  <c r="AO81" i="1"/>
  <c r="AR113" i="1"/>
  <c r="AL14" i="1"/>
  <c r="AR110" i="1"/>
  <c r="AL81" i="1"/>
  <c r="AR68" i="1"/>
  <c r="AR82" i="1"/>
  <c r="AR34" i="1"/>
  <c r="AR77" i="1"/>
  <c r="AM65" i="1"/>
  <c r="AP65" i="1" s="1"/>
  <c r="AM14" i="1"/>
  <c r="AP14" i="1" s="1"/>
  <c r="AN14" i="1"/>
  <c r="AQ14" i="1" s="1"/>
  <c r="AR129" i="1"/>
  <c r="AR9" i="1"/>
  <c r="AL66" i="1"/>
  <c r="AO94" i="1"/>
  <c r="AN94" i="1"/>
  <c r="AL65" i="1"/>
  <c r="AL9" i="1"/>
  <c r="AM66" i="1"/>
  <c r="AP66" i="1" s="1"/>
  <c r="AN65" i="1"/>
  <c r="AQ65" i="1" s="1"/>
  <c r="AN66" i="1"/>
  <c r="AQ66" i="1" s="1"/>
  <c r="AR91" i="1"/>
  <c r="AR87" i="1"/>
  <c r="AN116" i="1"/>
  <c r="AO116" i="1"/>
  <c r="AR16" i="1"/>
  <c r="AN110" i="1"/>
  <c r="AQ110" i="1" s="1"/>
  <c r="AO110" i="1"/>
  <c r="AL90" i="1"/>
  <c r="AM90" i="1"/>
  <c r="AP90" i="1" s="1"/>
  <c r="AO90" i="1"/>
  <c r="AN90" i="1"/>
  <c r="AQ90" i="1" s="1"/>
  <c r="AR131" i="1"/>
  <c r="AP131" i="1"/>
  <c r="AR13" i="1"/>
  <c r="AR118" i="1"/>
  <c r="AR141" i="1"/>
  <c r="AR135" i="1"/>
  <c r="AQ135" i="1"/>
  <c r="AR106" i="1"/>
  <c r="AR55" i="1"/>
  <c r="AP154" i="1"/>
  <c r="AR154" i="1"/>
  <c r="AR130" i="1"/>
  <c r="AR84" i="1"/>
  <c r="AM151" i="1"/>
  <c r="AP151" i="1" s="1"/>
  <c r="AL151" i="1"/>
  <c r="AN151" i="1"/>
  <c r="AQ151" i="1" s="1"/>
  <c r="AO151" i="1"/>
  <c r="AR151" i="1"/>
  <c r="AR149" i="1"/>
  <c r="AR23" i="1"/>
  <c r="AR22" i="1"/>
  <c r="AR40" i="1"/>
  <c r="AR26" i="1"/>
  <c r="AR75" i="1"/>
  <c r="AR153" i="1"/>
  <c r="AP114" i="1"/>
  <c r="AR114" i="1"/>
  <c r="AR58" i="1"/>
  <c r="AR50" i="1"/>
  <c r="AR33" i="1"/>
  <c r="AR132" i="1"/>
  <c r="AO59" i="1"/>
  <c r="AL59" i="1"/>
  <c r="AM59" i="1"/>
  <c r="AP59" i="1" s="1"/>
  <c r="AN59" i="1"/>
  <c r="AQ59" i="1" s="1"/>
  <c r="AP35" i="1"/>
  <c r="AR35" i="1"/>
  <c r="AO122" i="1"/>
  <c r="AN122" i="1"/>
  <c r="AQ122" i="1" s="1"/>
  <c r="AM122" i="1"/>
  <c r="AP122" i="1" s="1"/>
  <c r="AR122" i="1"/>
  <c r="AL122" i="1"/>
  <c r="AR117" i="1"/>
  <c r="AR105" i="1"/>
  <c r="AL103" i="1"/>
  <c r="AO103" i="1"/>
  <c r="AM103" i="1"/>
  <c r="AP103" i="1" s="1"/>
  <c r="AN103" i="1"/>
  <c r="AQ103" i="1" s="1"/>
  <c r="AR53" i="1"/>
  <c r="AP53" i="1"/>
  <c r="AR73" i="1"/>
  <c r="AR78" i="1"/>
  <c r="AO42" i="1"/>
  <c r="AN42" i="1"/>
  <c r="AQ42" i="1" s="1"/>
  <c r="AM42" i="1"/>
  <c r="AP42" i="1" s="1"/>
  <c r="AL42" i="1"/>
  <c r="AR80" i="1"/>
  <c r="AO92" i="1"/>
  <c r="AM92" i="1"/>
  <c r="AP92" i="1" s="1"/>
  <c r="AL92" i="1"/>
  <c r="AN92" i="1"/>
  <c r="AQ92" i="1" s="1"/>
  <c r="AR143" i="1"/>
  <c r="AR125" i="1"/>
  <c r="AO148" i="1"/>
  <c r="AN148" i="1"/>
  <c r="AQ148" i="1" s="1"/>
  <c r="AL148" i="1"/>
  <c r="AM148" i="1"/>
  <c r="AP148" i="1" s="1"/>
  <c r="AR97" i="1"/>
  <c r="AR37" i="1"/>
  <c r="AR142" i="1"/>
  <c r="AR31" i="1"/>
  <c r="AR128" i="1"/>
  <c r="AR38" i="1"/>
  <c r="AR8" i="1"/>
  <c r="AR86" i="1"/>
  <c r="AO72" i="1"/>
  <c r="AN72" i="1"/>
  <c r="AQ72" i="1" s="1"/>
  <c r="AL72" i="1"/>
  <c r="AM72" i="1"/>
  <c r="AP72" i="1" s="1"/>
  <c r="AO139" i="1"/>
  <c r="AL139" i="1"/>
  <c r="AM139" i="1"/>
  <c r="AP139" i="1" s="1"/>
  <c r="AN139" i="1"/>
  <c r="AQ139" i="1" s="1"/>
  <c r="AR150" i="1"/>
  <c r="AR144" i="1"/>
  <c r="AR29" i="1"/>
  <c r="AR137" i="1"/>
  <c r="AR89" i="1"/>
  <c r="AR69" i="1"/>
  <c r="AR119" i="1"/>
  <c r="AR52" i="1"/>
  <c r="AR95" i="1"/>
  <c r="AO107" i="1"/>
  <c r="AM107" i="1"/>
  <c r="AP107" i="1" s="1"/>
  <c r="AL107" i="1"/>
  <c r="AN107" i="1"/>
  <c r="AQ107" i="1" s="1"/>
  <c r="AR124" i="1"/>
  <c r="AR115" i="1"/>
  <c r="AR155" i="1"/>
  <c r="AR57" i="1"/>
  <c r="AP138" i="1"/>
  <c r="AR138" i="1"/>
  <c r="AO146" i="1"/>
  <c r="AN146" i="1"/>
  <c r="AQ146" i="1" s="1"/>
  <c r="AM146" i="1"/>
  <c r="AP146" i="1" s="1"/>
  <c r="AR146" i="1"/>
  <c r="AL146" i="1"/>
  <c r="AR32" i="1"/>
  <c r="AR120" i="1"/>
  <c r="AR152" i="1"/>
  <c r="AR134" i="1"/>
  <c r="AR65" i="1"/>
  <c r="AR99" i="1"/>
  <c r="AO147" i="1"/>
  <c r="AL147" i="1"/>
  <c r="AN147" i="1"/>
  <c r="AQ147" i="1" s="1"/>
  <c r="AM147" i="1"/>
  <c r="AP147" i="1" s="1"/>
  <c r="AR27" i="1"/>
  <c r="AR85" i="1"/>
  <c r="AR10" i="1"/>
  <c r="AP83" i="1"/>
  <c r="AR83" i="1"/>
  <c r="AR21" i="1"/>
  <c r="AR93" i="1"/>
  <c r="AR19" i="1"/>
  <c r="AR111" i="1"/>
  <c r="A148" i="1"/>
  <c r="A136" i="1"/>
  <c r="A124" i="1"/>
  <c r="A112" i="1"/>
  <c r="A100" i="1"/>
  <c r="A88" i="1"/>
  <c r="A76" i="1"/>
  <c r="A64" i="1"/>
  <c r="A52" i="1"/>
  <c r="A40" i="1"/>
  <c r="A28" i="1"/>
  <c r="A16" i="1"/>
  <c r="A149" i="1"/>
  <c r="A135" i="1"/>
  <c r="A122" i="1"/>
  <c r="A109" i="1"/>
  <c r="A96" i="1"/>
  <c r="A83" i="1"/>
  <c r="A70" i="1"/>
  <c r="A57" i="1"/>
  <c r="A44" i="1"/>
  <c r="A31" i="1"/>
  <c r="A18" i="1"/>
  <c r="A5" i="1"/>
  <c r="A147" i="1"/>
  <c r="A134" i="1"/>
  <c r="A121" i="1"/>
  <c r="A108" i="1"/>
  <c r="A95" i="1"/>
  <c r="A82" i="1"/>
  <c r="A69" i="1"/>
  <c r="A56" i="1"/>
  <c r="A43" i="1"/>
  <c r="A30" i="1"/>
  <c r="A17" i="1"/>
  <c r="A133" i="1"/>
  <c r="A107" i="1"/>
  <c r="A94" i="1"/>
  <c r="A68" i="1"/>
  <c r="A42" i="1"/>
  <c r="A15" i="1"/>
  <c r="A145" i="1"/>
  <c r="A132" i="1"/>
  <c r="A119" i="1"/>
  <c r="A106" i="1"/>
  <c r="A93" i="1"/>
  <c r="A80" i="1"/>
  <c r="A67" i="1"/>
  <c r="A54" i="1"/>
  <c r="A41" i="1"/>
  <c r="A146" i="1"/>
  <c r="A120" i="1"/>
  <c r="A81" i="1"/>
  <c r="A55" i="1"/>
  <c r="A29" i="1"/>
  <c r="A143" i="1"/>
  <c r="A130" i="1"/>
  <c r="A117" i="1"/>
  <c r="A104" i="1"/>
  <c r="A91" i="1"/>
  <c r="A78" i="1"/>
  <c r="A65" i="1"/>
  <c r="A51" i="1"/>
  <c r="A38" i="1"/>
  <c r="A25" i="1"/>
  <c r="A12" i="1"/>
  <c r="A50" i="1"/>
  <c r="A142" i="1"/>
  <c r="A129" i="1"/>
  <c r="A116" i="1"/>
  <c r="A103" i="1"/>
  <c r="A90" i="1"/>
  <c r="A77" i="1"/>
  <c r="A63" i="1"/>
  <c r="A37" i="1"/>
  <c r="A24" i="1"/>
  <c r="A11" i="1"/>
  <c r="A144" i="1"/>
  <c r="A118" i="1"/>
  <c r="A92" i="1"/>
  <c r="A66" i="1"/>
  <c r="A39" i="1"/>
  <c r="A19" i="1"/>
  <c r="A128" i="1"/>
  <c r="A102" i="1"/>
  <c r="A26" i="1"/>
  <c r="A6" i="1"/>
  <c r="A153" i="1"/>
  <c r="A101" i="1"/>
  <c r="A74" i="1"/>
  <c r="A23" i="1"/>
  <c r="A152" i="1"/>
  <c r="A99" i="1"/>
  <c r="A73" i="1"/>
  <c r="A22" i="1"/>
  <c r="A141" i="1"/>
  <c r="A115" i="1"/>
  <c r="A89" i="1"/>
  <c r="A62" i="1"/>
  <c r="A36" i="1"/>
  <c r="A14" i="1"/>
  <c r="A60" i="1"/>
  <c r="A138" i="1"/>
  <c r="A111" i="1"/>
  <c r="A85" i="1"/>
  <c r="A59" i="1"/>
  <c r="A33" i="1"/>
  <c r="A9" i="1"/>
  <c r="A105" i="1"/>
  <c r="A79" i="1"/>
  <c r="A53" i="1"/>
  <c r="A27" i="1"/>
  <c r="A7" i="1"/>
  <c r="A48" i="1"/>
  <c r="A72" i="1"/>
  <c r="A140" i="1"/>
  <c r="A114" i="1"/>
  <c r="A87" i="1"/>
  <c r="A61" i="1"/>
  <c r="A35" i="1"/>
  <c r="A13" i="1"/>
  <c r="A139" i="1"/>
  <c r="A113" i="1"/>
  <c r="A86" i="1"/>
  <c r="A34" i="1"/>
  <c r="A10" i="1"/>
  <c r="A131" i="1"/>
  <c r="A75" i="1"/>
  <c r="A47" i="1"/>
  <c r="A137" i="1"/>
  <c r="A110" i="1"/>
  <c r="A84" i="1"/>
  <c r="A58" i="1"/>
  <c r="A32" i="1"/>
  <c r="A8" i="1"/>
  <c r="A49" i="1"/>
  <c r="A127" i="1"/>
  <c r="A151" i="1"/>
  <c r="A98" i="1"/>
  <c r="A21" i="1"/>
  <c r="A126" i="1"/>
  <c r="A125" i="1"/>
  <c r="A46" i="1"/>
  <c r="A71" i="1"/>
  <c r="A45" i="1"/>
  <c r="A150" i="1"/>
  <c r="A123" i="1"/>
  <c r="A97" i="1"/>
  <c r="A20" i="1"/>
  <c r="AR81" i="1"/>
  <c r="AR30" i="1"/>
  <c r="AL140" i="1"/>
  <c r="AM140" i="1"/>
  <c r="AP140" i="1" s="1"/>
  <c r="AO140" i="1"/>
  <c r="AN140" i="1"/>
  <c r="AQ140" i="1" s="1"/>
  <c r="AR25" i="1"/>
  <c r="AR127" i="1"/>
  <c r="AR24" i="1"/>
  <c r="AR28" i="1"/>
  <c r="AR62" i="1"/>
  <c r="AQ116" i="1" l="1"/>
  <c r="AR116" i="1"/>
  <c r="AR66" i="1"/>
  <c r="AR14" i="1"/>
  <c r="AP67" i="1"/>
  <c r="AR67" i="1"/>
  <c r="AQ94" i="1"/>
  <c r="AR94" i="1"/>
  <c r="AR72" i="1"/>
  <c r="AR148" i="1"/>
  <c r="AR107" i="1"/>
  <c r="AR140" i="1"/>
  <c r="AR103" i="1"/>
  <c r="AR42" i="1"/>
  <c r="AR147" i="1"/>
  <c r="AR92" i="1"/>
  <c r="AR90" i="1"/>
  <c r="AR139" i="1"/>
  <c r="AR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F33" authorId="0" shapeId="0" xr:uid="{EB7E465C-F742-4662-9E82-BE3D0126C0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petrol allownc</t>
        </r>
      </text>
    </comment>
  </commentList>
</comments>
</file>

<file path=xl/sharedStrings.xml><?xml version="1.0" encoding="utf-8"?>
<sst xmlns="http://schemas.openxmlformats.org/spreadsheetml/2006/main" count="1731" uniqueCount="504">
  <si>
    <t>SHREE HARI ENTERPRISE UNIT-4 NOV-2025</t>
  </si>
  <si>
    <t>Aadhar Number</t>
  </si>
  <si>
    <t>Bank Name</t>
  </si>
  <si>
    <t>Days</t>
  </si>
  <si>
    <t>EMPLOYEE</t>
  </si>
  <si>
    <t>EMPLOYER</t>
  </si>
  <si>
    <t xml:space="preserve"> Bank A/c No.</t>
  </si>
  <si>
    <t>IFSC</t>
  </si>
  <si>
    <t>UAN Number</t>
  </si>
  <si>
    <t>ESIC Number</t>
  </si>
  <si>
    <t>Rate - 2024-25</t>
  </si>
  <si>
    <t>LEF2</t>
  </si>
  <si>
    <t>Sr. No</t>
  </si>
  <si>
    <t>Emp Code</t>
  </si>
  <si>
    <t>Category</t>
  </si>
  <si>
    <t>Emp Code2</t>
  </si>
  <si>
    <t>EMPLOYEE NAME</t>
  </si>
  <si>
    <t>Unit</t>
  </si>
  <si>
    <t>Floor</t>
  </si>
  <si>
    <t>Department</t>
  </si>
  <si>
    <t>Contractor</t>
  </si>
  <si>
    <t>DOJ</t>
  </si>
  <si>
    <t>PER DAY / FIXED SLARY</t>
  </si>
  <si>
    <t>Per Day Pay Out</t>
  </si>
  <si>
    <t>Fixed Pay Out</t>
  </si>
  <si>
    <t>Present</t>
  </si>
  <si>
    <t>Hours Ded. HR</t>
  </si>
  <si>
    <t>Extra Duty (Hrs.)</t>
  </si>
  <si>
    <t>Absent</t>
  </si>
  <si>
    <t>PH</t>
  </si>
  <si>
    <t>W/O</t>
  </si>
  <si>
    <t>Per Piece</t>
  </si>
  <si>
    <t>Paid Days</t>
  </si>
  <si>
    <t>Total Days</t>
  </si>
  <si>
    <t xml:space="preserve">Salary </t>
  </si>
  <si>
    <t>Hours Ded. AMT</t>
  </si>
  <si>
    <t>Extra Pay</t>
  </si>
  <si>
    <t>Difference Amount</t>
  </si>
  <si>
    <t>Bin Card Amount</t>
  </si>
  <si>
    <t>Total Earning</t>
  </si>
  <si>
    <t>Other Deduction</t>
  </si>
  <si>
    <t>Mediclaim Deduct.</t>
  </si>
  <si>
    <t>Shoes + Uniform</t>
  </si>
  <si>
    <t>Total Payable Salary</t>
  </si>
  <si>
    <t>EE PF</t>
  </si>
  <si>
    <t>ESI</t>
  </si>
  <si>
    <t>PT</t>
  </si>
  <si>
    <t>ER PF</t>
  </si>
  <si>
    <t>ESI 3.25%</t>
  </si>
  <si>
    <t>Net Pay</t>
  </si>
  <si>
    <t>Remarks</t>
  </si>
  <si>
    <t>LWF</t>
  </si>
  <si>
    <t>Casual</t>
  </si>
  <si>
    <t>NUC0744</t>
  </si>
  <si>
    <t>Divan Mayudinsha</t>
  </si>
  <si>
    <t>UNIT-2</t>
  </si>
  <si>
    <t>R&amp;D</t>
  </si>
  <si>
    <t>Metalize</t>
  </si>
  <si>
    <t>SHREE HARI</t>
  </si>
  <si>
    <t>SBI</t>
  </si>
  <si>
    <t>34528243238</t>
  </si>
  <si>
    <t>SBIN0002683</t>
  </si>
  <si>
    <t>PER DAY</t>
  </si>
  <si>
    <t>BANK</t>
  </si>
  <si>
    <t>UP</t>
  </si>
  <si>
    <t>NUC0854</t>
  </si>
  <si>
    <t>Satyam Babulal</t>
  </si>
  <si>
    <t>Bushing</t>
  </si>
  <si>
    <t>Winding</t>
  </si>
  <si>
    <t>HDFC</t>
  </si>
  <si>
    <t>50100709166502</t>
  </si>
  <si>
    <t>HDFC0000033</t>
  </si>
  <si>
    <t>NUC0820</t>
  </si>
  <si>
    <t>Ravindra Kumar Ram Sajivan</t>
  </si>
  <si>
    <t>Assembly - 04</t>
  </si>
  <si>
    <t>50100688450082</t>
  </si>
  <si>
    <t>NUC0959</t>
  </si>
  <si>
    <t>Dhanraj Mohan lal</t>
  </si>
  <si>
    <t>GIS</t>
  </si>
  <si>
    <t>Assembly - 02</t>
  </si>
  <si>
    <t>50100763329860</t>
  </si>
  <si>
    <t>NUC0117</t>
  </si>
  <si>
    <t>Govindlal Ramkishor</t>
  </si>
  <si>
    <t>MV</t>
  </si>
  <si>
    <t>Assembly - 01</t>
  </si>
  <si>
    <t>50100643277691</t>
  </si>
  <si>
    <t>NUC0990</t>
  </si>
  <si>
    <t>Rohit kumar Satrohan</t>
  </si>
  <si>
    <t>PNB</t>
  </si>
  <si>
    <t>1958200100004004</t>
  </si>
  <si>
    <t>PUNB0195820</t>
  </si>
  <si>
    <t>CFCP0611</t>
  </si>
  <si>
    <t>Rahulkumar Suresh Kumar</t>
  </si>
  <si>
    <t>UNION</t>
  </si>
  <si>
    <t>UBIN0564770</t>
  </si>
  <si>
    <t>NUC1004</t>
  </si>
  <si>
    <t>Amit Balram</t>
  </si>
  <si>
    <t>50100779415456</t>
  </si>
  <si>
    <t>NUC1005</t>
  </si>
  <si>
    <t>Vimal kumar Bhauro Prasad</t>
  </si>
  <si>
    <t>NUC1014</t>
  </si>
  <si>
    <t>Ranjan lal Chandrapal</t>
  </si>
  <si>
    <t>Casting</t>
  </si>
  <si>
    <t>50100779415472</t>
  </si>
  <si>
    <t>NUC0064</t>
  </si>
  <si>
    <t>Shyam Baburam</t>
  </si>
  <si>
    <t>UBIN0567337</t>
  </si>
  <si>
    <t>NPIP0090</t>
  </si>
  <si>
    <t>Bansu Bahadur Shripal</t>
  </si>
  <si>
    <t>3811374110</t>
  </si>
  <si>
    <t>NUC1013</t>
  </si>
  <si>
    <t>Gautam Shukhraj</t>
  </si>
  <si>
    <t>50100779415495</t>
  </si>
  <si>
    <t>NUC0035</t>
  </si>
  <si>
    <t>Ram Adesh Ram Lakhan</t>
  </si>
  <si>
    <t>50100643279603</t>
  </si>
  <si>
    <t>NPIP0104</t>
  </si>
  <si>
    <t>Sanjay Ram sajivan</t>
  </si>
  <si>
    <t>673302120000157</t>
  </si>
  <si>
    <t>SHE201</t>
  </si>
  <si>
    <t>MALI RAHULBHAI VINODBHAI</t>
  </si>
  <si>
    <t>Packing</t>
  </si>
  <si>
    <t>SBIN0032681</t>
  </si>
  <si>
    <t>SHE203</t>
  </si>
  <si>
    <t>PARMAR AJAYKUMAR ARVINDBHAI</t>
  </si>
  <si>
    <t>Store</t>
  </si>
  <si>
    <t>SBIN0061512</t>
  </si>
  <si>
    <t>SHE235</t>
  </si>
  <si>
    <t>MAHESHBHAI MAFATBHAI RAVAL</t>
  </si>
  <si>
    <t>NPH09</t>
  </si>
  <si>
    <t>PARMAR SANJAYSINH ARJUNSINH</t>
  </si>
  <si>
    <t>Finishing &amp; Labelling</t>
  </si>
  <si>
    <t>SBIN0008342</t>
  </si>
  <si>
    <t>SHE227</t>
  </si>
  <si>
    <t>ALTAF BASIR MALEK</t>
  </si>
  <si>
    <t>LV Winding</t>
  </si>
  <si>
    <t>SHE309</t>
  </si>
  <si>
    <t>Parmar Chatrasnih Raysingbhai</t>
  </si>
  <si>
    <t>FG</t>
  </si>
  <si>
    <t>Mistry</t>
  </si>
  <si>
    <t>SBIN0000442</t>
  </si>
  <si>
    <t>Borsad</t>
  </si>
  <si>
    <t>MK0045</t>
  </si>
  <si>
    <t>Chetan Sureshbhai Gohel</t>
  </si>
  <si>
    <t>Assembly</t>
  </si>
  <si>
    <t>SBIN0018086</t>
  </si>
  <si>
    <t>MK0059</t>
  </si>
  <si>
    <t>Virendrabhai Maheshbhai Solanki</t>
  </si>
  <si>
    <t>SBIN0030158</t>
  </si>
  <si>
    <t>SHE344</t>
  </si>
  <si>
    <t>Jayesh Ranjitsinh Padhiyar</t>
  </si>
  <si>
    <t>SHE349</t>
  </si>
  <si>
    <t>Vinay Kumar Gaya ram</t>
  </si>
  <si>
    <t>SHE350</t>
  </si>
  <si>
    <t>Sahilbhai Dilipbhai Waghela</t>
  </si>
  <si>
    <t>BOB</t>
  </si>
  <si>
    <t>BARB0AMBADA</t>
  </si>
  <si>
    <t>SHE351</t>
  </si>
  <si>
    <t>Sudarshan Anil</t>
  </si>
  <si>
    <t>SHE352</t>
  </si>
  <si>
    <t>Rinku Paswan Angan</t>
  </si>
  <si>
    <t>BARB0BUPGBX</t>
  </si>
  <si>
    <t>SHE353</t>
  </si>
  <si>
    <t>Jadav Kamleshbhai Hamirsinh</t>
  </si>
  <si>
    <t>SHE354</t>
  </si>
  <si>
    <t>Nikhil Kumar</t>
  </si>
  <si>
    <t>HV Winding</t>
  </si>
  <si>
    <t>SHE360</t>
  </si>
  <si>
    <t>Deepak Ramnaresh</t>
  </si>
  <si>
    <t>UBIN0546488</t>
  </si>
  <si>
    <t>SHE362</t>
  </si>
  <si>
    <t>Prakashbhai Jasvantbhai Padhiyar</t>
  </si>
  <si>
    <t>SHE369</t>
  </si>
  <si>
    <t>Padhiyar Saileshbhai Sureshbhai</t>
  </si>
  <si>
    <t>SBIN0001035</t>
  </si>
  <si>
    <t>SHE371</t>
  </si>
  <si>
    <t>Shaikh Arbajbhai Mahamadbhai</t>
  </si>
  <si>
    <t>UCO</t>
  </si>
  <si>
    <t>UCBA0003027</t>
  </si>
  <si>
    <t>SHE373</t>
  </si>
  <si>
    <t>Sindha Karansinh Rameshbhai</t>
  </si>
  <si>
    <t>03040100012544</t>
  </si>
  <si>
    <t>BARB0DHUVAR</t>
  </si>
  <si>
    <t>SHE374</t>
  </si>
  <si>
    <t>Sindha Mukeshbhai Babubhai</t>
  </si>
  <si>
    <t>03040100018403</t>
  </si>
  <si>
    <t>SHE378</t>
  </si>
  <si>
    <t>Guddu kumar Rampukar Ram</t>
  </si>
  <si>
    <t>2912000101190187</t>
  </si>
  <si>
    <t>PUNB0291200</t>
  </si>
  <si>
    <t>SHE379</t>
  </si>
  <si>
    <t>Navneetsinh Janaksinh Parmar</t>
  </si>
  <si>
    <t>Maintenance</t>
  </si>
  <si>
    <t>02040100033898</t>
  </si>
  <si>
    <t>BARB0PADRAX</t>
  </si>
  <si>
    <t>SHE380</t>
  </si>
  <si>
    <t>Padiyar Heenaben Sanjaybhai</t>
  </si>
  <si>
    <t>SHE381</t>
  </si>
  <si>
    <t>Patel Poojaben Brijeshbhai</t>
  </si>
  <si>
    <t>BARB0GAVASA</t>
  </si>
  <si>
    <t>SHE383</t>
  </si>
  <si>
    <t xml:space="preserve">Parmar Rekhaben Dilipbhai </t>
  </si>
  <si>
    <t>SBIN0016383</t>
  </si>
  <si>
    <t>SHE385</t>
  </si>
  <si>
    <t>Makwana Puspaben Mahendrabhai</t>
  </si>
  <si>
    <t>SHE386</t>
  </si>
  <si>
    <t>Patanvadiya Sonal Vijaybhai</t>
  </si>
  <si>
    <t>SBIN0060245</t>
  </si>
  <si>
    <t>SHE387</t>
  </si>
  <si>
    <t>Parmar bhavinaben Pareshkumar</t>
  </si>
  <si>
    <t>CENTRAL</t>
  </si>
  <si>
    <t>CBIN0282381</t>
  </si>
  <si>
    <t>SHE388</t>
  </si>
  <si>
    <t>Chetnaben Maheshbhai vasava</t>
  </si>
  <si>
    <t>Finishing</t>
  </si>
  <si>
    <t>SHE389</t>
  </si>
  <si>
    <t>Divya nareshbhai Mali</t>
  </si>
  <si>
    <t>BARB0CHANSA</t>
  </si>
  <si>
    <t>SHE390</t>
  </si>
  <si>
    <t>Nishaben Ramanbhai Solanki</t>
  </si>
  <si>
    <t>BOI</t>
  </si>
  <si>
    <t>BKID0002519</t>
  </si>
  <si>
    <t>SHE391</t>
  </si>
  <si>
    <t>Bhumika Naginbhai Parmar</t>
  </si>
  <si>
    <t>SHE392</t>
  </si>
  <si>
    <t>Kinjalben Arvinbhai Chauhan</t>
  </si>
  <si>
    <t>SHE394</t>
  </si>
  <si>
    <t>Gohil Daxben Tusharsinh</t>
  </si>
  <si>
    <t>SHE397</t>
  </si>
  <si>
    <t>Daxben Viralbhai Raval</t>
  </si>
  <si>
    <t>SHE398</t>
  </si>
  <si>
    <t>Minakshiben Sureshbhai Jogadekar</t>
  </si>
  <si>
    <t>02048100004599</t>
  </si>
  <si>
    <t>SHE401</t>
  </si>
  <si>
    <t>Jogi Heenaben Durganath</t>
  </si>
  <si>
    <t>SHE407</t>
  </si>
  <si>
    <t>Balram Ram aadhar</t>
  </si>
  <si>
    <t>CFCP0595</t>
  </si>
  <si>
    <t>Harshdakumar Thakorbhai Parmar</t>
  </si>
  <si>
    <t>Core Factory</t>
  </si>
  <si>
    <t>Core</t>
  </si>
  <si>
    <t>Auto Winding M/C</t>
  </si>
  <si>
    <t>50100643277702</t>
  </si>
  <si>
    <t>CFCP0813</t>
  </si>
  <si>
    <t>Neel Brijeshbhai Rajput</t>
  </si>
  <si>
    <t>Coil Winding</t>
  </si>
  <si>
    <t>Testing</t>
  </si>
  <si>
    <t>50100734222983</t>
  </si>
  <si>
    <t>CFCP0822</t>
  </si>
  <si>
    <t>Sandeep Kumar Balram Kashyap</t>
  </si>
  <si>
    <t>Material Issue</t>
  </si>
  <si>
    <t>50100735972697</t>
  </si>
  <si>
    <t>CFCP0740</t>
  </si>
  <si>
    <t>Parmar Ketanbhai Jivabhai</t>
  </si>
  <si>
    <t>03020100012533</t>
  </si>
  <si>
    <t>BARB0BHAKAI</t>
  </si>
  <si>
    <t>CFCP0733</t>
  </si>
  <si>
    <t>Dharmendrasinh Balvantsinh Sindha</t>
  </si>
  <si>
    <t>03020100014739</t>
  </si>
  <si>
    <t>CFCP0760</t>
  </si>
  <si>
    <t>Chudasama Vipulkumar Mahipatsinh</t>
  </si>
  <si>
    <t>Mu-Metal</t>
  </si>
  <si>
    <t>03048100003658</t>
  </si>
  <si>
    <t>CFCP0397</t>
  </si>
  <si>
    <t>Sachin Ramsumer Patel</t>
  </si>
  <si>
    <t>Core Winding</t>
  </si>
  <si>
    <t>50100643279668</t>
  </si>
  <si>
    <t>CFCP0046</t>
  </si>
  <si>
    <t>RAMU BABU LAL</t>
  </si>
  <si>
    <t>673302010004541</t>
  </si>
  <si>
    <t>CFCP0809</t>
  </si>
  <si>
    <t>Arpit Gaur Shyam Sundar</t>
  </si>
  <si>
    <t>50100728099774</t>
  </si>
  <si>
    <t>CFCP0843</t>
  </si>
  <si>
    <t>Hari Pal Ramkumar</t>
  </si>
  <si>
    <t>Color Resin</t>
  </si>
  <si>
    <t>50100763332854</t>
  </si>
  <si>
    <t>CFCP0853</t>
  </si>
  <si>
    <t>Karan Ramkali</t>
  </si>
  <si>
    <t>50100779411852</t>
  </si>
  <si>
    <t>CFCP0864</t>
  </si>
  <si>
    <t>Deepak kumar Ram sumer</t>
  </si>
  <si>
    <t>50100779414835</t>
  </si>
  <si>
    <t>CFCP0084</t>
  </si>
  <si>
    <t>Vasudev Ramdayal Saroj</t>
  </si>
  <si>
    <t>Primary Set</t>
  </si>
  <si>
    <t>50100643277712</t>
  </si>
  <si>
    <t>CFCP0222</t>
  </si>
  <si>
    <t>Rohit Kumar Pancham</t>
  </si>
  <si>
    <t>Primary Winding</t>
  </si>
  <si>
    <t>50100643279020</t>
  </si>
  <si>
    <t>CFCP0870</t>
  </si>
  <si>
    <t>Mohan Lal Angan Lal</t>
  </si>
  <si>
    <t>28193211013631</t>
  </si>
  <si>
    <t>UCBA0002819</t>
  </si>
  <si>
    <t>CFCP0829</t>
  </si>
  <si>
    <t>Ramji Nankau</t>
  </si>
  <si>
    <t>50100742420127</t>
  </si>
  <si>
    <t>CFCP0037</t>
  </si>
  <si>
    <t>ARVIND KUMAR DHARMESH</t>
  </si>
  <si>
    <t>Hand Winding</t>
  </si>
  <si>
    <t>CFCP0115</t>
  </si>
  <si>
    <t>Kamal Kishor Rajaram</t>
  </si>
  <si>
    <t>Coil Bracket</t>
  </si>
  <si>
    <t>CFCP0114</t>
  </si>
  <si>
    <t>Vishram Kallu Prasad</t>
  </si>
  <si>
    <t>CFCP0729</t>
  </si>
  <si>
    <t>Ritesh Deshraj</t>
  </si>
  <si>
    <t>Bobin Maker</t>
  </si>
  <si>
    <t>693902010007301</t>
  </si>
  <si>
    <t>UBIN0569399</t>
  </si>
  <si>
    <t>CFCP0602</t>
  </si>
  <si>
    <t>HEMRAJ ASHRAM</t>
  </si>
  <si>
    <t>CFCP0005</t>
  </si>
  <si>
    <t>Vinay Kumar Kalishankar</t>
  </si>
  <si>
    <t>50100643280096</t>
  </si>
  <si>
    <t>CFCP0101</t>
  </si>
  <si>
    <t>Sushil JagdishPrasad Yadav</t>
  </si>
  <si>
    <t>Furnace</t>
  </si>
  <si>
    <t>CFCP0185</t>
  </si>
  <si>
    <t>Sandeep Kumar Basudev</t>
  </si>
  <si>
    <t>Coil - Set</t>
  </si>
  <si>
    <t>50100643279017</t>
  </si>
  <si>
    <t>CFCP0073</t>
  </si>
  <si>
    <t>Raj Bahadur Soorjdin Yadav</t>
  </si>
  <si>
    <t>Core production</t>
  </si>
  <si>
    <t>CFCP0556</t>
  </si>
  <si>
    <t>Sanjay Kumar Chote lal</t>
  </si>
  <si>
    <t>CFCA0240</t>
  </si>
  <si>
    <t>Vinod rakesh saroj</t>
  </si>
  <si>
    <t>647702010002526</t>
  </si>
  <si>
    <t>NUC0799</t>
  </si>
  <si>
    <t>Shiv Milan Vishwakarma</t>
  </si>
  <si>
    <t>647702010006556</t>
  </si>
  <si>
    <t>CFCP0750</t>
  </si>
  <si>
    <t>Sonu Raju</t>
  </si>
  <si>
    <t>CFCA0260</t>
  </si>
  <si>
    <t>Ram Roop Chedilal</t>
  </si>
  <si>
    <t>673302010003023</t>
  </si>
  <si>
    <t>CFCP0730</t>
  </si>
  <si>
    <t>Neelesh Deshraj Yadav</t>
  </si>
  <si>
    <t>647702010006415</t>
  </si>
  <si>
    <t>CFCP0858</t>
  </si>
  <si>
    <t>Vinod kumar Yamuna Prasad Yadav</t>
  </si>
  <si>
    <t>CFCP0743</t>
  </si>
  <si>
    <t>Prem Kumar Ram Naresh</t>
  </si>
  <si>
    <t>Sliting M/C</t>
  </si>
  <si>
    <t>40800100003516</t>
  </si>
  <si>
    <t>BARB0LODHWA</t>
  </si>
  <si>
    <t>SHE012</t>
  </si>
  <si>
    <t>VIJAYBHAI HARMANBHAI JADAV</t>
  </si>
  <si>
    <t>Presspan</t>
  </si>
  <si>
    <t>PressPan</t>
  </si>
  <si>
    <t>BARB0BGGBXX</t>
  </si>
  <si>
    <t>SHE031</t>
  </si>
  <si>
    <t>MARATHA NANUNATH DAVALNATH</t>
  </si>
  <si>
    <t>SBIN0001333</t>
  </si>
  <si>
    <t>SHE141</t>
  </si>
  <si>
    <t>ROHIT TUSHARBHAI CHANDUBHAI</t>
  </si>
  <si>
    <t>SHE178</t>
  </si>
  <si>
    <t>PARMAR RAJENDRABHAI DAHYABHAI</t>
  </si>
  <si>
    <t>SHE294</t>
  </si>
  <si>
    <t>NIRAJKUMAR CHIMANBHAI JADAV</t>
  </si>
  <si>
    <t>SHE320</t>
  </si>
  <si>
    <t>Sagarbhai Pareshbhai Rathodiya</t>
  </si>
  <si>
    <t>SHE328</t>
  </si>
  <si>
    <t>Vasava Arjun Kalidas</t>
  </si>
  <si>
    <t>SHE198</t>
  </si>
  <si>
    <t>RAVAL DAXSESHBHAI BHAILALBHAI</t>
  </si>
  <si>
    <t>SHE355</t>
  </si>
  <si>
    <t>Ramchand Tej Bahadur</t>
  </si>
  <si>
    <t>07368100008772</t>
  </si>
  <si>
    <t>BARB0DBRAEB</t>
  </si>
  <si>
    <t>CFCP0839</t>
  </si>
  <si>
    <t>Ritik Sanjay</t>
  </si>
  <si>
    <t>CFCP0836</t>
  </si>
  <si>
    <t>Sanjit Kumar Santram</t>
  </si>
  <si>
    <t>50100750889648</t>
  </si>
  <si>
    <t>SHE357</t>
  </si>
  <si>
    <t>Rajendra Kumar Ram Harsh</t>
  </si>
  <si>
    <t>SHE363</t>
  </si>
  <si>
    <t>Jitendrabhai Narayanbhai Parmar</t>
  </si>
  <si>
    <t>SBIN0005720</t>
  </si>
  <si>
    <t>SHE367</t>
  </si>
  <si>
    <t>Yogeshbhai Yashvantbhai Solanki</t>
  </si>
  <si>
    <t>SHE402</t>
  </si>
  <si>
    <t>Jadav Karansinh Mahipatsinh</t>
  </si>
  <si>
    <t>Insulation</t>
  </si>
  <si>
    <t>SHE405</t>
  </si>
  <si>
    <t>Vasava Jayeshbhai Kalidas</t>
  </si>
  <si>
    <t>CBIN0284841</t>
  </si>
  <si>
    <t>SHE410</t>
  </si>
  <si>
    <t>Mali Rashmikaben Rajubhai</t>
  </si>
  <si>
    <t>SBIN0061335</t>
  </si>
  <si>
    <t>SHE411</t>
  </si>
  <si>
    <t>Snehalben Kishorsinh Vaghela</t>
  </si>
  <si>
    <t>NPIA0403</t>
  </si>
  <si>
    <t>RAHUL HARIRAM KUMAR</t>
  </si>
  <si>
    <t>673302050000543</t>
  </si>
  <si>
    <t>NUC0057</t>
  </si>
  <si>
    <t>Bharat Lal Deshraj</t>
  </si>
  <si>
    <t>50100643277675</t>
  </si>
  <si>
    <t>SHE417</t>
  </si>
  <si>
    <t>Radhey ram Chandra</t>
  </si>
  <si>
    <t>Assambaly</t>
  </si>
  <si>
    <t>SHE419</t>
  </si>
  <si>
    <t>Ajay Chandan</t>
  </si>
  <si>
    <t>50100779416551</t>
  </si>
  <si>
    <t>CFCA0248</t>
  </si>
  <si>
    <t>Ankit Premdas</t>
  </si>
  <si>
    <t>CFCP0620</t>
  </si>
  <si>
    <t>Shivam Ram Ganesh</t>
  </si>
  <si>
    <t>CFCP0749</t>
  </si>
  <si>
    <t>Abhy Maya</t>
  </si>
  <si>
    <t>647702010006553</t>
  </si>
  <si>
    <t>CFCP0342</t>
  </si>
  <si>
    <t>Ajay Kumar Amarnath</t>
  </si>
  <si>
    <t>CFCP0320</t>
  </si>
  <si>
    <t>Abhishek Kumar Chhedilal</t>
  </si>
  <si>
    <t>CFCP0787</t>
  </si>
  <si>
    <t>Praveen Kumar Yadav</t>
  </si>
  <si>
    <t>50100709166541</t>
  </si>
  <si>
    <t>CFCP0811</t>
  </si>
  <si>
    <t>Abhishek Gaur</t>
  </si>
  <si>
    <t>50100730904245</t>
  </si>
  <si>
    <t>CFCP0789</t>
  </si>
  <si>
    <t>Ram Lakhan Sadhari</t>
  </si>
  <si>
    <t>50100709166478</t>
  </si>
  <si>
    <t>CFCP0407</t>
  </si>
  <si>
    <t>Monu Heera Lal</t>
  </si>
  <si>
    <t>SHE415</t>
  </si>
  <si>
    <t>Ram Raj Sundar</t>
  </si>
  <si>
    <t>SHE420</t>
  </si>
  <si>
    <t>Raval Jagdishbhai Kanubhai</t>
  </si>
  <si>
    <t>General</t>
  </si>
  <si>
    <t xml:space="preserve">General </t>
  </si>
  <si>
    <t>NUC0160</t>
  </si>
  <si>
    <t>Ashish Ramesh</t>
  </si>
  <si>
    <t>BARB0NIGOHA</t>
  </si>
  <si>
    <t>SHE424</t>
  </si>
  <si>
    <t>Sindha Ajaysinh Dolatsinh</t>
  </si>
  <si>
    <t>SHE425</t>
  </si>
  <si>
    <t>Makvana Harshadkumar Mahendrasinh</t>
  </si>
  <si>
    <t>SHE426</t>
  </si>
  <si>
    <t>Shiv Kumar Sohan lal</t>
  </si>
  <si>
    <t>SHE427</t>
  </si>
  <si>
    <t>Vijay Kumar Sohan Lal</t>
  </si>
  <si>
    <t>SHE429</t>
  </si>
  <si>
    <t>Dharmendra Nandlal Saroj</t>
  </si>
  <si>
    <t>SHE430</t>
  </si>
  <si>
    <t>Vijay Bahadur Ramdas</t>
  </si>
  <si>
    <t>SHE421</t>
  </si>
  <si>
    <t>Sateesh Shiv Shankar Tiwari</t>
  </si>
  <si>
    <t>SHE422</t>
  </si>
  <si>
    <t>Shivanshu Ravi Shankar Dixit</t>
  </si>
  <si>
    <t>SHE423</t>
  </si>
  <si>
    <t>Shivjit Kumar Kallu</t>
  </si>
  <si>
    <t>SHE428</t>
  </si>
  <si>
    <t>Raj Kumar Soorjdin Yadav (Raju)</t>
  </si>
  <si>
    <t>SHE431</t>
  </si>
  <si>
    <t>Dinesh Kumar Yadav Shyam Sundar</t>
  </si>
  <si>
    <t>SHE434</t>
  </si>
  <si>
    <t>Rutvikkumar Budhabhai Jadav</t>
  </si>
  <si>
    <t>SHE435</t>
  </si>
  <si>
    <t>Vanrajsinh Laxmansinh Sindha</t>
  </si>
  <si>
    <t>SHE437</t>
  </si>
  <si>
    <t>Mahida Hitesh Vanrajsinh</t>
  </si>
  <si>
    <t>SHE438</t>
  </si>
  <si>
    <t>Raj Dharmeshkumar Ganpatsinh</t>
  </si>
  <si>
    <t>SHE440</t>
  </si>
  <si>
    <t>Mahendrasinh Rameshchandar Jadav</t>
  </si>
  <si>
    <t>SHE443</t>
  </si>
  <si>
    <t>Pradeep Kumar Ram Naresh</t>
  </si>
  <si>
    <t>SHE446</t>
  </si>
  <si>
    <t>Ajabsinh Umedsinh Parmar</t>
  </si>
  <si>
    <t>SHE447</t>
  </si>
  <si>
    <t>Jadav Vanrajsinh Dineshbhai</t>
  </si>
  <si>
    <t>Line Assambaly</t>
  </si>
  <si>
    <t>SHE448</t>
  </si>
  <si>
    <t>Parmar Jaykumar Arvindbhai</t>
  </si>
  <si>
    <t>SHE449</t>
  </si>
  <si>
    <t>Parmar aryan</t>
  </si>
  <si>
    <t>SHE432</t>
  </si>
  <si>
    <t>Vikas Basant Lal</t>
  </si>
  <si>
    <t>SHE436</t>
  </si>
  <si>
    <t>Ashish Kumar Om Prakash</t>
  </si>
  <si>
    <t>SHE439</t>
  </si>
  <si>
    <t>Rakeshbhai Bhailalbhai Jadav</t>
  </si>
  <si>
    <t>SHE441</t>
  </si>
  <si>
    <t>Rohit Prakashbhai Ambala</t>
  </si>
  <si>
    <t>SHE442</t>
  </si>
  <si>
    <t>Satya Dev Ram Dayal</t>
  </si>
  <si>
    <t>SHE444</t>
  </si>
  <si>
    <t>Ravi Shankar Shyam Lal</t>
  </si>
  <si>
    <t>SHE445</t>
  </si>
  <si>
    <t>Ramendra Kumar Shyam Lal</t>
  </si>
  <si>
    <t>SHE450</t>
  </si>
  <si>
    <t>Sindha Kiranbhai Manubhai</t>
  </si>
  <si>
    <t>superviser</t>
  </si>
  <si>
    <t>sup</t>
  </si>
  <si>
    <t>GHANSHYAMBHAI CHHOTABHAI MAKWANA</t>
  </si>
  <si>
    <t>SUP</t>
  </si>
  <si>
    <t>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</si>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</sst>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206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 applyProtection="1">
      <alignment vertical="center" wrapText="1"/>
      <protection locked="0"/>
    </xf>
    <xf numFmtId="0" fontId="1" fillId="3" borderId="2" xfId="0" applyFont="1" applyFill="1" applyBorder="1"/>
    <xf numFmtId="0" fontId="1" fillId="3" borderId="0" xfId="0" applyFont="1" applyFill="1"/>
    <xf numFmtId="0" fontId="3" fillId="2" borderId="3" xfId="0" applyFont="1" applyFill="1" applyBorder="1" applyAlignment="1">
      <alignment vertical="center" wrapText="1"/>
    </xf>
    <xf numFmtId="0" fontId="1" fillId="3" borderId="4" xfId="0" applyFont="1" applyFill="1" applyBorder="1"/>
    <xf numFmtId="0" fontId="1" fillId="3" borderId="2" xfId="0" applyFont="1" applyFill="1" applyBorder="1" applyAlignment="1">
      <alignment wrapText="1"/>
    </xf>
    <xf numFmtId="0" fontId="4" fillId="0" borderId="5" xfId="0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14" fontId="0" fillId="0" borderId="5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" fontId="0" fillId="0" borderId="6" xfId="0" applyNumberFormat="1" applyBorder="1" applyAlignment="1" applyProtection="1">
      <alignment horizontal="center" vertical="center" wrapText="1"/>
      <protection locked="0"/>
    </xf>
    <xf numFmtId="164" fontId="4" fillId="0" borderId="5" xfId="0" applyNumberFormat="1" applyFont="1" applyBorder="1" applyAlignment="1" applyProtection="1">
      <alignment horizontal="center" vertical="center" wrapText="1"/>
      <protection locked="0"/>
    </xf>
    <xf numFmtId="1" fontId="0" fillId="0" borderId="5" xfId="0" applyNumberFormat="1" applyBorder="1" applyAlignment="1" applyProtection="1">
      <alignment horizontal="center" vertical="center" wrapText="1"/>
      <protection locked="0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164" fontId="7" fillId="4" borderId="5" xfId="0" applyNumberFormat="1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 applyProtection="1">
      <alignment horizontal="center" vertical="center"/>
      <protection locked="0"/>
    </xf>
    <xf numFmtId="1" fontId="0" fillId="5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1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0" fillId="0" borderId="0" xfId="0" applyFont="1"/>
  </cellXfs>
  <cellStyles count="1">
    <cellStyle name="Normal" xfId="0" builtinId="0"/>
  </cellStyles>
  <dxfs count="136"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9900CC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ARAYAN%20ATT%20FEB-2026%20U-2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RAYAN%20BIN%20CARD%20FEB-2026%20U-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F%20SHEET%20JAN-2026%20AL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ARAYAN%20BANK%20SHEET%20JAN-2026%20U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6">
          <cell r="D6" t="str">
            <v>NUC0744</v>
          </cell>
          <cell r="E6" t="str">
            <v>Active</v>
          </cell>
          <cell r="F6" t="str">
            <v>In Direct</v>
          </cell>
          <cell r="G6" t="str">
            <v>Divan Mayudinsha</v>
          </cell>
          <cell r="H6" t="str">
            <v>InDirect Labour Wage</v>
          </cell>
          <cell r="I6">
            <v>0</v>
          </cell>
          <cell r="J6" t="str">
            <v>UNIT-2</v>
          </cell>
          <cell r="K6" t="str">
            <v>R&amp;D</v>
          </cell>
          <cell r="L6" t="str">
            <v>Metalize</v>
          </cell>
          <cell r="M6" t="str">
            <v>Operator</v>
          </cell>
          <cell r="N6">
            <v>45248</v>
          </cell>
          <cell r="O6">
            <v>2.2986301369863016</v>
          </cell>
          <cell r="P6" t="str">
            <v>S</v>
          </cell>
          <cell r="Q6">
            <v>0</v>
          </cell>
          <cell r="R6">
            <v>0</v>
          </cell>
          <cell r="S6" t="str">
            <v>P</v>
          </cell>
          <cell r="T6">
            <v>0</v>
          </cell>
          <cell r="U6">
            <v>0</v>
          </cell>
          <cell r="V6" t="str">
            <v>P</v>
          </cell>
          <cell r="W6">
            <v>0</v>
          </cell>
          <cell r="X6">
            <v>0</v>
          </cell>
          <cell r="Y6" t="str">
            <v>P</v>
          </cell>
          <cell r="Z6">
            <v>0</v>
          </cell>
          <cell r="AA6">
            <v>0</v>
          </cell>
          <cell r="AB6" t="str">
            <v>P</v>
          </cell>
          <cell r="AC6">
            <v>0</v>
          </cell>
          <cell r="AD6">
            <v>0</v>
          </cell>
          <cell r="AE6" t="str">
            <v>P</v>
          </cell>
          <cell r="AF6">
            <v>0</v>
          </cell>
          <cell r="AG6">
            <v>2</v>
          </cell>
          <cell r="AH6" t="str">
            <v>P</v>
          </cell>
          <cell r="AI6">
            <v>0</v>
          </cell>
          <cell r="AJ6">
            <v>0</v>
          </cell>
          <cell r="AK6" t="str">
            <v>S</v>
          </cell>
          <cell r="AL6">
            <v>0</v>
          </cell>
          <cell r="AM6">
            <v>0</v>
          </cell>
          <cell r="AN6" t="str">
            <v>P</v>
          </cell>
          <cell r="AO6">
            <v>0</v>
          </cell>
          <cell r="AP6">
            <v>0</v>
          </cell>
          <cell r="AQ6" t="str">
            <v>P</v>
          </cell>
          <cell r="AR6">
            <v>0</v>
          </cell>
          <cell r="AS6">
            <v>0</v>
          </cell>
          <cell r="AT6" t="str">
            <v>P</v>
          </cell>
          <cell r="AU6">
            <v>0</v>
          </cell>
          <cell r="AV6">
            <v>0</v>
          </cell>
          <cell r="AW6" t="str">
            <v>P</v>
          </cell>
          <cell r="AX6">
            <v>0</v>
          </cell>
          <cell r="AY6">
            <v>0</v>
          </cell>
          <cell r="AZ6" t="str">
            <v>P</v>
          </cell>
          <cell r="BA6">
            <v>0</v>
          </cell>
          <cell r="BB6">
            <v>0</v>
          </cell>
          <cell r="BC6" t="str">
            <v>P</v>
          </cell>
          <cell r="BD6">
            <v>0</v>
          </cell>
          <cell r="BE6">
            <v>0</v>
          </cell>
          <cell r="BF6" t="str">
            <v>S</v>
          </cell>
          <cell r="BG6">
            <v>0</v>
          </cell>
          <cell r="BH6">
            <v>0</v>
          </cell>
          <cell r="BI6" t="str">
            <v>P</v>
          </cell>
          <cell r="BJ6">
            <v>0</v>
          </cell>
          <cell r="BK6">
            <v>0</v>
          </cell>
          <cell r="BL6" t="str">
            <v>P</v>
          </cell>
          <cell r="BM6">
            <v>0</v>
          </cell>
          <cell r="BN6">
            <v>0</v>
          </cell>
          <cell r="BO6" t="str">
            <v>P</v>
          </cell>
          <cell r="BP6">
            <v>0</v>
          </cell>
          <cell r="BQ6">
            <v>0</v>
          </cell>
          <cell r="BR6" t="str">
            <v>P</v>
          </cell>
          <cell r="BS6">
            <v>0</v>
          </cell>
          <cell r="BT6">
            <v>0</v>
          </cell>
          <cell r="BU6" t="str">
            <v>A</v>
          </cell>
          <cell r="BV6">
            <v>0</v>
          </cell>
          <cell r="BW6">
            <v>0</v>
          </cell>
          <cell r="BX6" t="str">
            <v>P</v>
          </cell>
          <cell r="BY6">
            <v>0</v>
          </cell>
          <cell r="BZ6">
            <v>0</v>
          </cell>
          <cell r="CA6" t="str">
            <v>S</v>
          </cell>
          <cell r="CB6">
            <v>0</v>
          </cell>
          <cell r="CC6">
            <v>0</v>
          </cell>
          <cell r="CD6" t="str">
            <v>P</v>
          </cell>
          <cell r="CE6">
            <v>0</v>
          </cell>
          <cell r="CF6">
            <v>0</v>
          </cell>
          <cell r="CG6" t="str">
            <v>P</v>
          </cell>
          <cell r="CH6">
            <v>0</v>
          </cell>
          <cell r="CI6">
            <v>0</v>
          </cell>
          <cell r="CJ6" t="str">
            <v>P</v>
          </cell>
          <cell r="CK6">
            <v>0</v>
          </cell>
          <cell r="CL6">
            <v>0</v>
          </cell>
          <cell r="CM6" t="str">
            <v>P</v>
          </cell>
          <cell r="CN6">
            <v>0</v>
          </cell>
          <cell r="CO6">
            <v>0</v>
          </cell>
          <cell r="CP6" t="str">
            <v>P</v>
          </cell>
          <cell r="CQ6">
            <v>0</v>
          </cell>
          <cell r="CR6">
            <v>0</v>
          </cell>
          <cell r="CS6" t="str">
            <v>P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23</v>
          </cell>
          <cell r="DG6">
            <v>0</v>
          </cell>
          <cell r="DH6">
            <v>2</v>
          </cell>
          <cell r="DI6">
            <v>1</v>
          </cell>
          <cell r="DJ6">
            <v>0</v>
          </cell>
          <cell r="DK6">
            <v>0</v>
          </cell>
          <cell r="DL6">
            <v>4</v>
          </cell>
          <cell r="DM6">
            <v>23</v>
          </cell>
          <cell r="DN6">
            <v>28</v>
          </cell>
          <cell r="DO6">
            <v>0</v>
          </cell>
          <cell r="DP6">
            <v>6</v>
          </cell>
          <cell r="DQ6">
            <v>350</v>
          </cell>
          <cell r="DR6">
            <v>0</v>
          </cell>
        </row>
        <row r="7">
          <cell r="D7" t="str">
            <v>NUC0854</v>
          </cell>
          <cell r="E7" t="str">
            <v>Active</v>
          </cell>
          <cell r="F7" t="str">
            <v>Direct</v>
          </cell>
          <cell r="G7" t="str">
            <v>Satyam Babulal</v>
          </cell>
          <cell r="H7" t="str">
            <v>Direct Labour Wage</v>
          </cell>
          <cell r="I7" t="str">
            <v>EC2414422543-01E</v>
          </cell>
          <cell r="J7" t="str">
            <v>UNIT-2</v>
          </cell>
          <cell r="K7" t="str">
            <v>Bushing</v>
          </cell>
          <cell r="L7" t="str">
            <v>Winding</v>
          </cell>
          <cell r="M7" t="str">
            <v>Operator</v>
          </cell>
          <cell r="N7">
            <v>45380</v>
          </cell>
          <cell r="O7">
            <v>1.9369863013698629</v>
          </cell>
          <cell r="P7" t="str">
            <v>S</v>
          </cell>
          <cell r="Q7">
            <v>0</v>
          </cell>
          <cell r="R7">
            <v>0</v>
          </cell>
          <cell r="S7" t="str">
            <v>P</v>
          </cell>
          <cell r="T7">
            <v>0</v>
          </cell>
          <cell r="U7">
            <v>1</v>
          </cell>
          <cell r="V7" t="str">
            <v>A</v>
          </cell>
          <cell r="W7">
            <v>0</v>
          </cell>
          <cell r="X7">
            <v>0</v>
          </cell>
          <cell r="Y7" t="str">
            <v>A</v>
          </cell>
          <cell r="Z7">
            <v>0</v>
          </cell>
          <cell r="AA7">
            <v>0</v>
          </cell>
          <cell r="AB7" t="str">
            <v>A</v>
          </cell>
          <cell r="AC7">
            <v>0</v>
          </cell>
          <cell r="AD7">
            <v>0</v>
          </cell>
          <cell r="AE7" t="str">
            <v>A</v>
          </cell>
          <cell r="AF7">
            <v>0</v>
          </cell>
          <cell r="AG7">
            <v>0</v>
          </cell>
          <cell r="AH7" t="str">
            <v>A</v>
          </cell>
          <cell r="AI7">
            <v>0</v>
          </cell>
          <cell r="AJ7">
            <v>0</v>
          </cell>
          <cell r="AK7" t="str">
            <v>A</v>
          </cell>
          <cell r="AL7">
            <v>0</v>
          </cell>
          <cell r="AM7">
            <v>0</v>
          </cell>
          <cell r="AN7" t="str">
            <v>A</v>
          </cell>
          <cell r="AO7">
            <v>0</v>
          </cell>
          <cell r="AP7">
            <v>0</v>
          </cell>
          <cell r="AQ7" t="str">
            <v>A</v>
          </cell>
          <cell r="AR7">
            <v>0</v>
          </cell>
          <cell r="AS7">
            <v>0</v>
          </cell>
          <cell r="AT7" t="str">
            <v>A</v>
          </cell>
          <cell r="AU7">
            <v>0</v>
          </cell>
          <cell r="AV7">
            <v>0</v>
          </cell>
          <cell r="AW7" t="str">
            <v>A</v>
          </cell>
          <cell r="AX7">
            <v>0</v>
          </cell>
          <cell r="AY7">
            <v>0</v>
          </cell>
          <cell r="AZ7" t="str">
            <v>A</v>
          </cell>
          <cell r="BA7">
            <v>0</v>
          </cell>
          <cell r="BB7">
            <v>0</v>
          </cell>
          <cell r="BC7" t="str">
            <v>A</v>
          </cell>
          <cell r="BD7">
            <v>0</v>
          </cell>
          <cell r="BE7">
            <v>0</v>
          </cell>
          <cell r="BF7" t="str">
            <v>A</v>
          </cell>
          <cell r="BG7">
            <v>0</v>
          </cell>
          <cell r="BH7">
            <v>0</v>
          </cell>
          <cell r="BI7" t="str">
            <v>A</v>
          </cell>
          <cell r="BJ7">
            <v>0</v>
          </cell>
          <cell r="BK7">
            <v>0</v>
          </cell>
          <cell r="BL7" t="str">
            <v>A</v>
          </cell>
          <cell r="BM7">
            <v>0</v>
          </cell>
          <cell r="BN7">
            <v>0</v>
          </cell>
          <cell r="BO7" t="str">
            <v>A</v>
          </cell>
          <cell r="BP7">
            <v>0</v>
          </cell>
          <cell r="BQ7">
            <v>0</v>
          </cell>
          <cell r="BR7" t="str">
            <v>A</v>
          </cell>
          <cell r="BS7">
            <v>0</v>
          </cell>
          <cell r="BT7">
            <v>0</v>
          </cell>
          <cell r="BU7" t="str">
            <v>A</v>
          </cell>
          <cell r="BV7">
            <v>0</v>
          </cell>
          <cell r="BW7">
            <v>0</v>
          </cell>
          <cell r="BX7" t="str">
            <v>A</v>
          </cell>
          <cell r="BY7">
            <v>0</v>
          </cell>
          <cell r="BZ7">
            <v>0</v>
          </cell>
          <cell r="CA7" t="str">
            <v>A</v>
          </cell>
          <cell r="CB7">
            <v>0</v>
          </cell>
          <cell r="CC7">
            <v>0</v>
          </cell>
          <cell r="CD7" t="str">
            <v>A</v>
          </cell>
          <cell r="CE7">
            <v>0</v>
          </cell>
          <cell r="CF7">
            <v>0</v>
          </cell>
          <cell r="CG7" t="str">
            <v>A</v>
          </cell>
          <cell r="CH7">
            <v>0</v>
          </cell>
          <cell r="CI7">
            <v>0</v>
          </cell>
          <cell r="CJ7" t="str">
            <v>A</v>
          </cell>
          <cell r="CK7">
            <v>0</v>
          </cell>
          <cell r="CL7">
            <v>0</v>
          </cell>
          <cell r="CM7" t="str">
            <v>A</v>
          </cell>
          <cell r="CN7">
            <v>0</v>
          </cell>
          <cell r="CO7">
            <v>0</v>
          </cell>
          <cell r="CP7" t="str">
            <v>A</v>
          </cell>
          <cell r="CQ7">
            <v>0</v>
          </cell>
          <cell r="CR7">
            <v>0</v>
          </cell>
          <cell r="CS7" t="str">
            <v>A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1</v>
          </cell>
          <cell r="DG7">
            <v>0</v>
          </cell>
          <cell r="DH7">
            <v>1</v>
          </cell>
          <cell r="DI7">
            <v>26</v>
          </cell>
          <cell r="DJ7">
            <v>0</v>
          </cell>
          <cell r="DK7">
            <v>0</v>
          </cell>
          <cell r="DL7">
            <v>1</v>
          </cell>
          <cell r="DM7">
            <v>1</v>
          </cell>
          <cell r="DN7">
            <v>28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</row>
        <row r="8">
          <cell r="D8" t="str">
            <v>NUC0820</v>
          </cell>
          <cell r="E8" t="str">
            <v>Active</v>
          </cell>
          <cell r="F8" t="str">
            <v>Direct</v>
          </cell>
          <cell r="G8" t="str">
            <v>Ravindra Kumar Ram Sajivan</v>
          </cell>
          <cell r="H8" t="str">
            <v>Direct Labour Wage</v>
          </cell>
          <cell r="I8" t="str">
            <v>EC2414422666-01E</v>
          </cell>
          <cell r="J8" t="str">
            <v>UNIT-2</v>
          </cell>
          <cell r="K8" t="str">
            <v>Bushing</v>
          </cell>
          <cell r="L8" t="str">
            <v>Assembly - 03</v>
          </cell>
          <cell r="M8" t="str">
            <v>Helper</v>
          </cell>
          <cell r="N8">
            <v>45316</v>
          </cell>
          <cell r="O8">
            <v>2.1123287671232878</v>
          </cell>
          <cell r="P8" t="str">
            <v>S</v>
          </cell>
          <cell r="Q8">
            <v>0</v>
          </cell>
          <cell r="R8">
            <v>5</v>
          </cell>
          <cell r="S8" t="str">
            <v>T</v>
          </cell>
          <cell r="T8">
            <v>0</v>
          </cell>
          <cell r="U8">
            <v>0</v>
          </cell>
          <cell r="V8" t="str">
            <v>T</v>
          </cell>
          <cell r="W8">
            <v>0</v>
          </cell>
          <cell r="X8">
            <v>0</v>
          </cell>
          <cell r="Y8" t="str">
            <v>P</v>
          </cell>
          <cell r="Z8">
            <v>0</v>
          </cell>
          <cell r="AA8">
            <v>1</v>
          </cell>
          <cell r="AB8" t="str">
            <v>P</v>
          </cell>
          <cell r="AC8">
            <v>0</v>
          </cell>
          <cell r="AD8">
            <v>1.5</v>
          </cell>
          <cell r="AE8" t="str">
            <v>T</v>
          </cell>
          <cell r="AF8">
            <v>0</v>
          </cell>
          <cell r="AG8">
            <v>0</v>
          </cell>
          <cell r="AH8" t="str">
            <v>T</v>
          </cell>
          <cell r="AI8">
            <v>0</v>
          </cell>
          <cell r="AJ8">
            <v>0</v>
          </cell>
          <cell r="AK8" t="str">
            <v>S</v>
          </cell>
          <cell r="AL8">
            <v>0</v>
          </cell>
          <cell r="AM8">
            <v>0</v>
          </cell>
          <cell r="AN8" t="str">
            <v>T</v>
          </cell>
          <cell r="AO8">
            <v>0</v>
          </cell>
          <cell r="AP8">
            <v>0</v>
          </cell>
          <cell r="AQ8" t="str">
            <v>T</v>
          </cell>
          <cell r="AR8">
            <v>0</v>
          </cell>
          <cell r="AS8">
            <v>0</v>
          </cell>
          <cell r="AT8" t="str">
            <v>T</v>
          </cell>
          <cell r="AU8">
            <v>0</v>
          </cell>
          <cell r="AV8">
            <v>0</v>
          </cell>
          <cell r="AW8" t="str">
            <v>T</v>
          </cell>
          <cell r="AX8">
            <v>0</v>
          </cell>
          <cell r="AY8">
            <v>0</v>
          </cell>
          <cell r="AZ8" t="str">
            <v>T</v>
          </cell>
          <cell r="BA8">
            <v>0</v>
          </cell>
          <cell r="BB8">
            <v>0</v>
          </cell>
          <cell r="BC8" t="str">
            <v>T</v>
          </cell>
          <cell r="BD8">
            <v>0</v>
          </cell>
          <cell r="BE8">
            <v>0</v>
          </cell>
          <cell r="BF8" t="str">
            <v>T</v>
          </cell>
          <cell r="BG8">
            <v>0</v>
          </cell>
          <cell r="BH8">
            <v>0</v>
          </cell>
          <cell r="BI8" t="str">
            <v>T</v>
          </cell>
          <cell r="BJ8">
            <v>0</v>
          </cell>
          <cell r="BK8">
            <v>0</v>
          </cell>
          <cell r="BL8" t="str">
            <v>T</v>
          </cell>
          <cell r="BM8">
            <v>0</v>
          </cell>
          <cell r="BN8">
            <v>0</v>
          </cell>
          <cell r="BO8" t="str">
            <v>T</v>
          </cell>
          <cell r="BP8">
            <v>0</v>
          </cell>
          <cell r="BQ8">
            <v>0</v>
          </cell>
          <cell r="BR8" t="str">
            <v>T</v>
          </cell>
          <cell r="BS8">
            <v>0</v>
          </cell>
          <cell r="BT8">
            <v>0</v>
          </cell>
          <cell r="BU8" t="str">
            <v>T</v>
          </cell>
          <cell r="BV8">
            <v>0</v>
          </cell>
          <cell r="BW8">
            <v>0</v>
          </cell>
          <cell r="BX8" t="str">
            <v>T</v>
          </cell>
          <cell r="BY8">
            <v>0</v>
          </cell>
          <cell r="BZ8">
            <v>0</v>
          </cell>
          <cell r="CA8" t="str">
            <v>T</v>
          </cell>
          <cell r="CB8">
            <v>0</v>
          </cell>
          <cell r="CC8">
            <v>0</v>
          </cell>
          <cell r="CD8" t="str">
            <v>T</v>
          </cell>
          <cell r="CE8">
            <v>0</v>
          </cell>
          <cell r="CF8">
            <v>0</v>
          </cell>
          <cell r="CG8" t="str">
            <v>T</v>
          </cell>
          <cell r="CH8">
            <v>0</v>
          </cell>
          <cell r="CI8">
            <v>0</v>
          </cell>
          <cell r="CJ8" t="str">
            <v>T</v>
          </cell>
          <cell r="CK8">
            <v>0</v>
          </cell>
          <cell r="CL8">
            <v>0</v>
          </cell>
          <cell r="CM8" t="str">
            <v>T</v>
          </cell>
          <cell r="CN8">
            <v>0</v>
          </cell>
          <cell r="CO8">
            <v>0</v>
          </cell>
          <cell r="CP8" t="str">
            <v>T</v>
          </cell>
          <cell r="CQ8">
            <v>0</v>
          </cell>
          <cell r="CR8">
            <v>0</v>
          </cell>
          <cell r="CS8" t="str">
            <v>P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3</v>
          </cell>
          <cell r="DG8">
            <v>0</v>
          </cell>
          <cell r="DH8">
            <v>7.5</v>
          </cell>
          <cell r="DI8">
            <v>0</v>
          </cell>
          <cell r="DJ8">
            <v>0</v>
          </cell>
          <cell r="DK8">
            <v>0</v>
          </cell>
          <cell r="DL8">
            <v>2</v>
          </cell>
          <cell r="DM8">
            <v>3</v>
          </cell>
          <cell r="DN8">
            <v>28</v>
          </cell>
          <cell r="DO8">
            <v>23</v>
          </cell>
          <cell r="DP8">
            <v>0</v>
          </cell>
          <cell r="DQ8">
            <v>0</v>
          </cell>
          <cell r="DR8">
            <v>0</v>
          </cell>
        </row>
        <row r="9">
          <cell r="D9" t="str">
            <v>NUC0959</v>
          </cell>
          <cell r="E9" t="str">
            <v>Active</v>
          </cell>
          <cell r="F9" t="str">
            <v>Direct</v>
          </cell>
          <cell r="G9" t="str">
            <v>Dhanraj Mohan lal</v>
          </cell>
          <cell r="H9" t="str">
            <v>Direct Labour Wage</v>
          </cell>
          <cell r="I9" t="str">
            <v>EC2521450704-01E</v>
          </cell>
          <cell r="J9" t="str">
            <v>UNIT-2</v>
          </cell>
          <cell r="K9" t="str">
            <v>GIS</v>
          </cell>
          <cell r="L9" t="str">
            <v>Assembly - 02</v>
          </cell>
          <cell r="M9" t="str">
            <v>Helper</v>
          </cell>
          <cell r="N9">
            <v>45591</v>
          </cell>
          <cell r="O9">
            <v>1.3589041095890411</v>
          </cell>
          <cell r="P9" t="str">
            <v>S</v>
          </cell>
          <cell r="Q9">
            <v>0</v>
          </cell>
          <cell r="R9">
            <v>0</v>
          </cell>
          <cell r="S9" t="str">
            <v>T</v>
          </cell>
          <cell r="T9">
            <v>0</v>
          </cell>
          <cell r="U9">
            <v>0</v>
          </cell>
          <cell r="V9" t="str">
            <v>T</v>
          </cell>
          <cell r="W9">
            <v>0</v>
          </cell>
          <cell r="X9">
            <v>0</v>
          </cell>
          <cell r="Y9" t="str">
            <v>T</v>
          </cell>
          <cell r="Z9">
            <v>0</v>
          </cell>
          <cell r="AA9">
            <v>0</v>
          </cell>
          <cell r="AB9" t="str">
            <v>T</v>
          </cell>
          <cell r="AC9">
            <v>0</v>
          </cell>
          <cell r="AD9">
            <v>0</v>
          </cell>
          <cell r="AE9" t="str">
            <v>T</v>
          </cell>
          <cell r="AF9">
            <v>0</v>
          </cell>
          <cell r="AG9">
            <v>0</v>
          </cell>
          <cell r="AH9" t="str">
            <v>T</v>
          </cell>
          <cell r="AI9">
            <v>0</v>
          </cell>
          <cell r="AJ9">
            <v>0</v>
          </cell>
          <cell r="AK9" t="str">
            <v>T</v>
          </cell>
          <cell r="AL9">
            <v>0</v>
          </cell>
          <cell r="AM9">
            <v>0</v>
          </cell>
          <cell r="AN9" t="str">
            <v>T</v>
          </cell>
          <cell r="AO9">
            <v>0</v>
          </cell>
          <cell r="AP9">
            <v>0</v>
          </cell>
          <cell r="AQ9" t="str">
            <v>A</v>
          </cell>
          <cell r="AR9">
            <v>0</v>
          </cell>
          <cell r="AS9">
            <v>0</v>
          </cell>
          <cell r="AT9" t="str">
            <v>P</v>
          </cell>
          <cell r="AU9">
            <v>0</v>
          </cell>
          <cell r="AV9">
            <v>0</v>
          </cell>
          <cell r="AW9" t="str">
            <v>P</v>
          </cell>
          <cell r="AX9">
            <v>0</v>
          </cell>
          <cell r="AY9">
            <v>0</v>
          </cell>
          <cell r="AZ9" t="str">
            <v>P</v>
          </cell>
          <cell r="BA9">
            <v>0</v>
          </cell>
          <cell r="BB9">
            <v>0</v>
          </cell>
          <cell r="BC9" t="str">
            <v>P</v>
          </cell>
          <cell r="BD9">
            <v>0</v>
          </cell>
          <cell r="BE9">
            <v>0</v>
          </cell>
          <cell r="BF9" t="str">
            <v>S</v>
          </cell>
          <cell r="BG9">
            <v>0</v>
          </cell>
          <cell r="BH9">
            <v>0</v>
          </cell>
          <cell r="BI9" t="str">
            <v>T</v>
          </cell>
          <cell r="BJ9">
            <v>0</v>
          </cell>
          <cell r="BK9">
            <v>0</v>
          </cell>
          <cell r="BL9" t="str">
            <v>P</v>
          </cell>
          <cell r="BM9">
            <v>0</v>
          </cell>
          <cell r="BN9">
            <v>0</v>
          </cell>
          <cell r="BO9" t="str">
            <v>P</v>
          </cell>
          <cell r="BP9">
            <v>0</v>
          </cell>
          <cell r="BQ9">
            <v>0</v>
          </cell>
          <cell r="BR9" t="str">
            <v>P</v>
          </cell>
          <cell r="BS9">
            <v>0</v>
          </cell>
          <cell r="BT9">
            <v>0</v>
          </cell>
          <cell r="BU9" t="str">
            <v>P</v>
          </cell>
          <cell r="BV9">
            <v>0</v>
          </cell>
          <cell r="BW9">
            <v>0</v>
          </cell>
          <cell r="BX9" t="str">
            <v>P</v>
          </cell>
          <cell r="BY9">
            <v>0</v>
          </cell>
          <cell r="BZ9">
            <v>10.5</v>
          </cell>
          <cell r="CA9" t="str">
            <v>T</v>
          </cell>
          <cell r="CB9">
            <v>0</v>
          </cell>
          <cell r="CC9">
            <v>0</v>
          </cell>
          <cell r="CD9" t="str">
            <v>T</v>
          </cell>
          <cell r="CE9">
            <v>0</v>
          </cell>
          <cell r="CF9">
            <v>0</v>
          </cell>
          <cell r="CG9" t="str">
            <v>T</v>
          </cell>
          <cell r="CH9">
            <v>0</v>
          </cell>
          <cell r="CI9">
            <v>0</v>
          </cell>
          <cell r="CJ9" t="str">
            <v>T</v>
          </cell>
          <cell r="CK9">
            <v>0</v>
          </cell>
          <cell r="CL9">
            <v>0</v>
          </cell>
          <cell r="CM9" t="str">
            <v>T</v>
          </cell>
          <cell r="CN9">
            <v>0</v>
          </cell>
          <cell r="CO9">
            <v>0</v>
          </cell>
          <cell r="CP9" t="str">
            <v>P</v>
          </cell>
          <cell r="CQ9">
            <v>0</v>
          </cell>
          <cell r="CR9">
            <v>11</v>
          </cell>
          <cell r="CS9" t="str">
            <v>A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10</v>
          </cell>
          <cell r="DG9">
            <v>0</v>
          </cell>
          <cell r="DH9">
            <v>21.5</v>
          </cell>
          <cell r="DI9">
            <v>2</v>
          </cell>
          <cell r="DJ9">
            <v>0</v>
          </cell>
          <cell r="DK9">
            <v>0</v>
          </cell>
          <cell r="DL9">
            <v>2</v>
          </cell>
          <cell r="DM9">
            <v>10</v>
          </cell>
          <cell r="DN9">
            <v>28</v>
          </cell>
          <cell r="DO9">
            <v>14</v>
          </cell>
          <cell r="DP9">
            <v>0</v>
          </cell>
          <cell r="DQ9">
            <v>0</v>
          </cell>
          <cell r="DR9">
            <v>0</v>
          </cell>
        </row>
        <row r="10">
          <cell r="D10" t="str">
            <v>NUC0117</v>
          </cell>
          <cell r="E10" t="str">
            <v>Active</v>
          </cell>
          <cell r="F10" t="str">
            <v>Direct</v>
          </cell>
          <cell r="G10" t="str">
            <v>Govindlal Ramkishor</v>
          </cell>
          <cell r="H10" t="str">
            <v>Direct Labour Wage</v>
          </cell>
          <cell r="I10" t="str">
            <v>EC2521450658-01E</v>
          </cell>
          <cell r="J10" t="str">
            <v>UNIT-2</v>
          </cell>
          <cell r="K10" t="str">
            <v>MV</v>
          </cell>
          <cell r="L10" t="str">
            <v>Assembly - 01</v>
          </cell>
          <cell r="M10" t="str">
            <v>Helper</v>
          </cell>
          <cell r="N10">
            <v>45591</v>
          </cell>
          <cell r="O10">
            <v>1.3589041095890411</v>
          </cell>
          <cell r="P10" t="str">
            <v>S</v>
          </cell>
          <cell r="Q10">
            <v>0</v>
          </cell>
          <cell r="R10">
            <v>0</v>
          </cell>
          <cell r="S10" t="str">
            <v>T</v>
          </cell>
          <cell r="T10">
            <v>0</v>
          </cell>
          <cell r="U10">
            <v>0</v>
          </cell>
          <cell r="V10" t="str">
            <v>T</v>
          </cell>
          <cell r="W10">
            <v>0</v>
          </cell>
          <cell r="X10">
            <v>0</v>
          </cell>
          <cell r="Y10" t="str">
            <v>T</v>
          </cell>
          <cell r="Z10">
            <v>0</v>
          </cell>
          <cell r="AA10">
            <v>0</v>
          </cell>
          <cell r="AB10" t="str">
            <v>T</v>
          </cell>
          <cell r="AC10">
            <v>0</v>
          </cell>
          <cell r="AD10">
            <v>0</v>
          </cell>
          <cell r="AE10" t="str">
            <v>T</v>
          </cell>
          <cell r="AF10">
            <v>0</v>
          </cell>
          <cell r="AG10">
            <v>0</v>
          </cell>
          <cell r="AH10" t="str">
            <v>T</v>
          </cell>
          <cell r="AI10">
            <v>0</v>
          </cell>
          <cell r="AJ10">
            <v>0</v>
          </cell>
          <cell r="AK10" t="str">
            <v>S</v>
          </cell>
          <cell r="AL10">
            <v>0</v>
          </cell>
          <cell r="AM10">
            <v>0</v>
          </cell>
          <cell r="AN10" t="str">
            <v>T</v>
          </cell>
          <cell r="AO10">
            <v>0</v>
          </cell>
          <cell r="AP10">
            <v>0</v>
          </cell>
          <cell r="AQ10" t="str">
            <v>T</v>
          </cell>
          <cell r="AR10">
            <v>0</v>
          </cell>
          <cell r="AS10">
            <v>0</v>
          </cell>
          <cell r="AT10" t="str">
            <v>T</v>
          </cell>
          <cell r="AU10">
            <v>0</v>
          </cell>
          <cell r="AV10">
            <v>0</v>
          </cell>
          <cell r="AW10" t="str">
            <v>T</v>
          </cell>
          <cell r="AX10">
            <v>0</v>
          </cell>
          <cell r="AY10">
            <v>0</v>
          </cell>
          <cell r="AZ10" t="str">
            <v>T</v>
          </cell>
          <cell r="BA10">
            <v>0</v>
          </cell>
          <cell r="BB10">
            <v>0</v>
          </cell>
          <cell r="BC10" t="str">
            <v>T</v>
          </cell>
          <cell r="BD10">
            <v>0</v>
          </cell>
          <cell r="BE10">
            <v>0</v>
          </cell>
          <cell r="BF10" t="str">
            <v>S</v>
          </cell>
          <cell r="BG10">
            <v>0</v>
          </cell>
          <cell r="BH10">
            <v>0</v>
          </cell>
          <cell r="BI10" t="str">
            <v>T</v>
          </cell>
          <cell r="BJ10">
            <v>0</v>
          </cell>
          <cell r="BK10">
            <v>0</v>
          </cell>
          <cell r="BL10" t="str">
            <v>T</v>
          </cell>
          <cell r="BM10">
            <v>0</v>
          </cell>
          <cell r="BN10">
            <v>0</v>
          </cell>
          <cell r="BO10" t="str">
            <v>T</v>
          </cell>
          <cell r="BP10">
            <v>0</v>
          </cell>
          <cell r="BQ10">
            <v>0</v>
          </cell>
          <cell r="BR10" t="str">
            <v>T</v>
          </cell>
          <cell r="BS10">
            <v>0</v>
          </cell>
          <cell r="BT10">
            <v>0</v>
          </cell>
          <cell r="BU10" t="str">
            <v>T</v>
          </cell>
          <cell r="BV10">
            <v>0</v>
          </cell>
          <cell r="BW10">
            <v>0</v>
          </cell>
          <cell r="BX10" t="str">
            <v>T</v>
          </cell>
          <cell r="BY10">
            <v>0</v>
          </cell>
          <cell r="BZ10">
            <v>0</v>
          </cell>
          <cell r="CA10" t="str">
            <v>S</v>
          </cell>
          <cell r="CB10">
            <v>0</v>
          </cell>
          <cell r="CC10">
            <v>0</v>
          </cell>
          <cell r="CD10" t="str">
            <v>T</v>
          </cell>
          <cell r="CE10">
            <v>0</v>
          </cell>
          <cell r="CF10">
            <v>0</v>
          </cell>
          <cell r="CG10" t="str">
            <v>T</v>
          </cell>
          <cell r="CH10">
            <v>0</v>
          </cell>
          <cell r="CI10">
            <v>0</v>
          </cell>
          <cell r="CJ10" t="str">
            <v>T</v>
          </cell>
          <cell r="CK10">
            <v>0</v>
          </cell>
          <cell r="CL10">
            <v>0</v>
          </cell>
          <cell r="CM10" t="str">
            <v>T</v>
          </cell>
          <cell r="CN10">
            <v>0</v>
          </cell>
          <cell r="CO10">
            <v>0</v>
          </cell>
          <cell r="CP10" t="str">
            <v>T</v>
          </cell>
          <cell r="CQ10">
            <v>0</v>
          </cell>
          <cell r="CR10">
            <v>0</v>
          </cell>
          <cell r="CS10" t="str">
            <v>T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4</v>
          </cell>
          <cell r="DM10">
            <v>0</v>
          </cell>
          <cell r="DN10">
            <v>28</v>
          </cell>
          <cell r="DO10">
            <v>24</v>
          </cell>
          <cell r="DP10">
            <v>0</v>
          </cell>
          <cell r="DQ10">
            <v>0</v>
          </cell>
          <cell r="DR10">
            <v>0</v>
          </cell>
        </row>
        <row r="11">
          <cell r="D11" t="str">
            <v>NUC0990</v>
          </cell>
          <cell r="E11" t="str">
            <v>Active</v>
          </cell>
          <cell r="F11" t="str">
            <v>Direct</v>
          </cell>
          <cell r="G11" t="str">
            <v>Rohit kumar Satrohan</v>
          </cell>
          <cell r="H11" t="str">
            <v>Direct Labour Wage</v>
          </cell>
          <cell r="I11" t="str">
            <v>EC2521450532-01E</v>
          </cell>
          <cell r="J11" t="str">
            <v>UNIT-2</v>
          </cell>
          <cell r="K11" t="str">
            <v>Bushing</v>
          </cell>
          <cell r="L11" t="str">
            <v>Assembly - 03</v>
          </cell>
          <cell r="M11" t="str">
            <v>Helper</v>
          </cell>
          <cell r="N11">
            <v>45644</v>
          </cell>
          <cell r="O11">
            <v>1.2136986301369863</v>
          </cell>
          <cell r="P11" t="str">
            <v>S</v>
          </cell>
          <cell r="Q11">
            <v>0</v>
          </cell>
          <cell r="R11">
            <v>5</v>
          </cell>
          <cell r="S11" t="str">
            <v>T</v>
          </cell>
          <cell r="T11">
            <v>0</v>
          </cell>
          <cell r="U11">
            <v>0</v>
          </cell>
          <cell r="V11" t="str">
            <v>T</v>
          </cell>
          <cell r="W11">
            <v>0</v>
          </cell>
          <cell r="X11">
            <v>0</v>
          </cell>
          <cell r="Y11" t="str">
            <v>P</v>
          </cell>
          <cell r="Z11">
            <v>0</v>
          </cell>
          <cell r="AA11">
            <v>1.5</v>
          </cell>
          <cell r="AB11" t="str">
            <v>P</v>
          </cell>
          <cell r="AC11">
            <v>0</v>
          </cell>
          <cell r="AD11">
            <v>1.5</v>
          </cell>
          <cell r="AE11" t="str">
            <v>T</v>
          </cell>
          <cell r="AF11">
            <v>0</v>
          </cell>
          <cell r="AG11">
            <v>0</v>
          </cell>
          <cell r="AH11" t="str">
            <v>T</v>
          </cell>
          <cell r="AI11">
            <v>0</v>
          </cell>
          <cell r="AJ11">
            <v>0</v>
          </cell>
          <cell r="AK11" t="str">
            <v>S</v>
          </cell>
          <cell r="AL11">
            <v>0</v>
          </cell>
          <cell r="AM11">
            <v>0</v>
          </cell>
          <cell r="AN11" t="str">
            <v>T</v>
          </cell>
          <cell r="AO11">
            <v>0</v>
          </cell>
          <cell r="AP11">
            <v>0</v>
          </cell>
          <cell r="AQ11" t="str">
            <v>T</v>
          </cell>
          <cell r="AR11">
            <v>0</v>
          </cell>
          <cell r="AS11">
            <v>0</v>
          </cell>
          <cell r="AT11" t="str">
            <v>T</v>
          </cell>
          <cell r="AU11">
            <v>0</v>
          </cell>
          <cell r="AV11">
            <v>0</v>
          </cell>
          <cell r="AW11" t="str">
            <v>T</v>
          </cell>
          <cell r="AX11">
            <v>0</v>
          </cell>
          <cell r="AY11">
            <v>0</v>
          </cell>
          <cell r="AZ11" t="str">
            <v>T</v>
          </cell>
          <cell r="BA11">
            <v>0</v>
          </cell>
          <cell r="BB11">
            <v>0</v>
          </cell>
          <cell r="BC11" t="str">
            <v>P</v>
          </cell>
          <cell r="BD11">
            <v>0</v>
          </cell>
          <cell r="BE11">
            <v>2</v>
          </cell>
          <cell r="BF11" t="str">
            <v>T</v>
          </cell>
          <cell r="BG11">
            <v>0</v>
          </cell>
          <cell r="BH11">
            <v>0</v>
          </cell>
          <cell r="BI11" t="str">
            <v>T</v>
          </cell>
          <cell r="BJ11">
            <v>0</v>
          </cell>
          <cell r="BK11">
            <v>0</v>
          </cell>
          <cell r="BL11" t="str">
            <v>T</v>
          </cell>
          <cell r="BM11">
            <v>0</v>
          </cell>
          <cell r="BN11">
            <v>0</v>
          </cell>
          <cell r="BO11" t="str">
            <v>T</v>
          </cell>
          <cell r="BP11">
            <v>0</v>
          </cell>
          <cell r="BQ11">
            <v>0</v>
          </cell>
          <cell r="BR11" t="str">
            <v>T</v>
          </cell>
          <cell r="BS11">
            <v>0</v>
          </cell>
          <cell r="BT11">
            <v>0</v>
          </cell>
          <cell r="BU11" t="str">
            <v>T</v>
          </cell>
          <cell r="BV11">
            <v>0</v>
          </cell>
          <cell r="BW11">
            <v>0</v>
          </cell>
          <cell r="BX11" t="str">
            <v>T</v>
          </cell>
          <cell r="BY11">
            <v>0</v>
          </cell>
          <cell r="BZ11">
            <v>0</v>
          </cell>
          <cell r="CA11" t="str">
            <v>T</v>
          </cell>
          <cell r="CB11">
            <v>0</v>
          </cell>
          <cell r="CC11">
            <v>0</v>
          </cell>
          <cell r="CD11" t="str">
            <v>T</v>
          </cell>
          <cell r="CE11">
            <v>0</v>
          </cell>
          <cell r="CF11">
            <v>0</v>
          </cell>
          <cell r="CG11" t="str">
            <v>T</v>
          </cell>
          <cell r="CH11">
            <v>0</v>
          </cell>
          <cell r="CI11">
            <v>0</v>
          </cell>
          <cell r="CJ11" t="str">
            <v>T</v>
          </cell>
          <cell r="CK11">
            <v>0</v>
          </cell>
          <cell r="CL11">
            <v>0</v>
          </cell>
          <cell r="CM11" t="str">
            <v>T</v>
          </cell>
          <cell r="CN11">
            <v>0</v>
          </cell>
          <cell r="CO11">
            <v>0</v>
          </cell>
          <cell r="CP11" t="str">
            <v>T</v>
          </cell>
          <cell r="CQ11">
            <v>0</v>
          </cell>
          <cell r="CR11">
            <v>0</v>
          </cell>
          <cell r="CS11" t="str">
            <v>P</v>
          </cell>
          <cell r="CT11">
            <v>0</v>
          </cell>
          <cell r="CU11">
            <v>7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4</v>
          </cell>
          <cell r="DG11">
            <v>0</v>
          </cell>
          <cell r="DH11">
            <v>17</v>
          </cell>
          <cell r="DI11">
            <v>0</v>
          </cell>
          <cell r="DJ11">
            <v>0</v>
          </cell>
          <cell r="DK11">
            <v>0</v>
          </cell>
          <cell r="DL11">
            <v>2</v>
          </cell>
          <cell r="DM11">
            <v>4</v>
          </cell>
          <cell r="DN11">
            <v>28</v>
          </cell>
          <cell r="DO11">
            <v>22</v>
          </cell>
          <cell r="DP11">
            <v>0</v>
          </cell>
          <cell r="DQ11">
            <v>0</v>
          </cell>
          <cell r="DR11">
            <v>0</v>
          </cell>
        </row>
        <row r="12">
          <cell r="D12" t="str">
            <v>NUC1005</v>
          </cell>
          <cell r="E12" t="str">
            <v>Active</v>
          </cell>
          <cell r="F12" t="str">
            <v>Direct</v>
          </cell>
          <cell r="G12" t="str">
            <v>Vimal kumar Bhauro Prasad</v>
          </cell>
          <cell r="H12" t="str">
            <v>Direct Labour Wage</v>
          </cell>
          <cell r="I12" t="str">
            <v>EC2521450772-01E</v>
          </cell>
          <cell r="J12" t="str">
            <v>UNIT-2</v>
          </cell>
          <cell r="K12" t="str">
            <v>GIS</v>
          </cell>
          <cell r="L12" t="str">
            <v>Assembly - 02</v>
          </cell>
          <cell r="M12" t="str">
            <v>Helper</v>
          </cell>
          <cell r="N12">
            <v>45661</v>
          </cell>
          <cell r="O12">
            <v>1.167123287671233</v>
          </cell>
          <cell r="P12" t="str">
            <v>S</v>
          </cell>
          <cell r="Q12">
            <v>0</v>
          </cell>
          <cell r="R12">
            <v>5</v>
          </cell>
          <cell r="S12" t="str">
            <v>P</v>
          </cell>
          <cell r="T12">
            <v>0</v>
          </cell>
          <cell r="U12">
            <v>2</v>
          </cell>
          <cell r="V12" t="str">
            <v>P</v>
          </cell>
          <cell r="W12">
            <v>0</v>
          </cell>
          <cell r="X12">
            <v>0</v>
          </cell>
          <cell r="Y12" t="str">
            <v>P</v>
          </cell>
          <cell r="Z12">
            <v>0</v>
          </cell>
          <cell r="AA12">
            <v>0</v>
          </cell>
          <cell r="AB12" t="str">
            <v>P</v>
          </cell>
          <cell r="AC12">
            <v>0</v>
          </cell>
          <cell r="AD12">
            <v>0</v>
          </cell>
          <cell r="AE12" t="str">
            <v>P</v>
          </cell>
          <cell r="AF12">
            <v>0</v>
          </cell>
          <cell r="AG12">
            <v>0</v>
          </cell>
          <cell r="AH12" t="str">
            <v>P</v>
          </cell>
          <cell r="AI12">
            <v>0</v>
          </cell>
          <cell r="AJ12">
            <v>0</v>
          </cell>
          <cell r="AK12" t="str">
            <v>S</v>
          </cell>
          <cell r="AL12">
            <v>0</v>
          </cell>
          <cell r="AM12">
            <v>0</v>
          </cell>
          <cell r="AN12" t="str">
            <v>P</v>
          </cell>
          <cell r="AO12">
            <v>0</v>
          </cell>
          <cell r="AP12">
            <v>0</v>
          </cell>
          <cell r="AQ12" t="str">
            <v>P</v>
          </cell>
          <cell r="AR12">
            <v>0</v>
          </cell>
          <cell r="AS12">
            <v>0</v>
          </cell>
          <cell r="AT12" t="str">
            <v>P</v>
          </cell>
          <cell r="AU12">
            <v>0</v>
          </cell>
          <cell r="AV12">
            <v>1</v>
          </cell>
          <cell r="AW12" t="str">
            <v>P</v>
          </cell>
          <cell r="AX12">
            <v>0</v>
          </cell>
          <cell r="AY12">
            <v>0</v>
          </cell>
          <cell r="AZ12" t="str">
            <v>P</v>
          </cell>
          <cell r="BA12">
            <v>0</v>
          </cell>
          <cell r="BB12">
            <v>0</v>
          </cell>
          <cell r="BC12" t="str">
            <v>P</v>
          </cell>
          <cell r="BD12">
            <v>0</v>
          </cell>
          <cell r="BE12">
            <v>0</v>
          </cell>
          <cell r="BF12" t="str">
            <v>S</v>
          </cell>
          <cell r="BG12">
            <v>0</v>
          </cell>
          <cell r="BH12">
            <v>0</v>
          </cell>
          <cell r="BI12" t="str">
            <v>P</v>
          </cell>
          <cell r="BJ12">
            <v>0</v>
          </cell>
          <cell r="BK12">
            <v>2.5</v>
          </cell>
          <cell r="BL12" t="str">
            <v>P</v>
          </cell>
          <cell r="BM12">
            <v>0</v>
          </cell>
          <cell r="BN12">
            <v>2</v>
          </cell>
          <cell r="BO12" t="str">
            <v>P</v>
          </cell>
          <cell r="BP12">
            <v>0</v>
          </cell>
          <cell r="BQ12">
            <v>2.5</v>
          </cell>
          <cell r="BR12" t="str">
            <v>P</v>
          </cell>
          <cell r="BS12">
            <v>0</v>
          </cell>
          <cell r="BT12">
            <v>2</v>
          </cell>
          <cell r="BU12" t="str">
            <v>P</v>
          </cell>
          <cell r="BV12">
            <v>0</v>
          </cell>
          <cell r="BW12">
            <v>2.5</v>
          </cell>
          <cell r="BX12" t="str">
            <v>P</v>
          </cell>
          <cell r="BY12">
            <v>0</v>
          </cell>
          <cell r="BZ12">
            <v>3</v>
          </cell>
          <cell r="CA12" t="str">
            <v>S</v>
          </cell>
          <cell r="CB12">
            <v>0</v>
          </cell>
          <cell r="CC12">
            <v>0</v>
          </cell>
          <cell r="CD12" t="str">
            <v>P</v>
          </cell>
          <cell r="CE12">
            <v>0</v>
          </cell>
          <cell r="CF12">
            <v>2</v>
          </cell>
          <cell r="CG12" t="str">
            <v>P</v>
          </cell>
          <cell r="CH12">
            <v>0</v>
          </cell>
          <cell r="CI12">
            <v>4.5</v>
          </cell>
          <cell r="CJ12" t="str">
            <v>P</v>
          </cell>
          <cell r="CK12">
            <v>0</v>
          </cell>
          <cell r="CL12">
            <v>2.5</v>
          </cell>
          <cell r="CM12" t="str">
            <v>P</v>
          </cell>
          <cell r="CN12">
            <v>0</v>
          </cell>
          <cell r="CO12">
            <v>2.5</v>
          </cell>
          <cell r="CP12" t="str">
            <v>P</v>
          </cell>
          <cell r="CQ12">
            <v>0</v>
          </cell>
          <cell r="CR12">
            <v>2.5</v>
          </cell>
          <cell r="CS12" t="str">
            <v>P</v>
          </cell>
          <cell r="CT12">
            <v>0</v>
          </cell>
          <cell r="CU12">
            <v>3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24</v>
          </cell>
          <cell r="DG12">
            <v>0</v>
          </cell>
          <cell r="DH12">
            <v>39.5</v>
          </cell>
          <cell r="DI12">
            <v>0</v>
          </cell>
          <cell r="DJ12">
            <v>0</v>
          </cell>
          <cell r="DK12">
            <v>0</v>
          </cell>
          <cell r="DL12">
            <v>4</v>
          </cell>
          <cell r="DM12">
            <v>24</v>
          </cell>
          <cell r="DN12">
            <v>28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</row>
        <row r="13">
          <cell r="D13" t="str">
            <v>NUC0064</v>
          </cell>
          <cell r="E13" t="str">
            <v>Active</v>
          </cell>
          <cell r="F13" t="str">
            <v>Direct</v>
          </cell>
          <cell r="G13" t="str">
            <v>Shyam Baburam</v>
          </cell>
          <cell r="H13" t="str">
            <v>Direct Labour Wage</v>
          </cell>
          <cell r="I13" t="str">
            <v>EC2521450657-01E</v>
          </cell>
          <cell r="J13" t="str">
            <v>UNIT-2</v>
          </cell>
          <cell r="K13" t="str">
            <v>MV</v>
          </cell>
          <cell r="L13" t="str">
            <v>Casting</v>
          </cell>
          <cell r="M13" t="str">
            <v>Operator</v>
          </cell>
          <cell r="N13">
            <v>44007</v>
          </cell>
          <cell r="O13">
            <v>5.6986301369863011</v>
          </cell>
          <cell r="P13" t="str">
            <v>S</v>
          </cell>
          <cell r="Q13">
            <v>0</v>
          </cell>
          <cell r="R13">
            <v>5</v>
          </cell>
          <cell r="S13" t="str">
            <v>T</v>
          </cell>
          <cell r="T13">
            <v>0</v>
          </cell>
          <cell r="U13">
            <v>0</v>
          </cell>
          <cell r="V13" t="str">
            <v>T</v>
          </cell>
          <cell r="W13">
            <v>0</v>
          </cell>
          <cell r="X13">
            <v>0</v>
          </cell>
          <cell r="Y13" t="str">
            <v>T</v>
          </cell>
          <cell r="Z13">
            <v>0</v>
          </cell>
          <cell r="AA13">
            <v>0</v>
          </cell>
          <cell r="AB13" t="str">
            <v>T</v>
          </cell>
          <cell r="AC13">
            <v>0</v>
          </cell>
          <cell r="AD13">
            <v>0</v>
          </cell>
          <cell r="AE13" t="str">
            <v>T</v>
          </cell>
          <cell r="AF13">
            <v>0</v>
          </cell>
          <cell r="AG13">
            <v>0</v>
          </cell>
          <cell r="AH13" t="str">
            <v>T</v>
          </cell>
          <cell r="AI13">
            <v>0</v>
          </cell>
          <cell r="AJ13">
            <v>0</v>
          </cell>
          <cell r="AK13" t="str">
            <v>S</v>
          </cell>
          <cell r="AL13">
            <v>0</v>
          </cell>
          <cell r="AM13">
            <v>0</v>
          </cell>
          <cell r="AN13" t="str">
            <v>T</v>
          </cell>
          <cell r="AO13">
            <v>0</v>
          </cell>
          <cell r="AP13">
            <v>0</v>
          </cell>
          <cell r="AQ13" t="str">
            <v>T</v>
          </cell>
          <cell r="AR13">
            <v>0</v>
          </cell>
          <cell r="AS13">
            <v>0</v>
          </cell>
          <cell r="AT13" t="str">
            <v>T</v>
          </cell>
          <cell r="AU13">
            <v>0</v>
          </cell>
          <cell r="AV13">
            <v>0</v>
          </cell>
          <cell r="AW13" t="str">
            <v>T</v>
          </cell>
          <cell r="AX13">
            <v>0</v>
          </cell>
          <cell r="AY13">
            <v>0</v>
          </cell>
          <cell r="AZ13" t="str">
            <v>T</v>
          </cell>
          <cell r="BA13">
            <v>0</v>
          </cell>
          <cell r="BB13">
            <v>0</v>
          </cell>
          <cell r="BC13" t="str">
            <v>T</v>
          </cell>
          <cell r="BD13">
            <v>0</v>
          </cell>
          <cell r="BE13">
            <v>0</v>
          </cell>
          <cell r="BF13" t="str">
            <v>S</v>
          </cell>
          <cell r="BG13">
            <v>0</v>
          </cell>
          <cell r="BH13">
            <v>4</v>
          </cell>
          <cell r="BI13" t="str">
            <v>T</v>
          </cell>
          <cell r="BJ13">
            <v>0</v>
          </cell>
          <cell r="BK13">
            <v>0</v>
          </cell>
          <cell r="BL13" t="str">
            <v>T</v>
          </cell>
          <cell r="BM13">
            <v>0</v>
          </cell>
          <cell r="BN13">
            <v>0</v>
          </cell>
          <cell r="BO13" t="str">
            <v>T</v>
          </cell>
          <cell r="BP13">
            <v>0</v>
          </cell>
          <cell r="BQ13">
            <v>0</v>
          </cell>
          <cell r="BR13" t="str">
            <v>T</v>
          </cell>
          <cell r="BS13">
            <v>0</v>
          </cell>
          <cell r="BT13">
            <v>0</v>
          </cell>
          <cell r="BU13" t="str">
            <v>T</v>
          </cell>
          <cell r="BV13">
            <v>0</v>
          </cell>
          <cell r="BW13">
            <v>0</v>
          </cell>
          <cell r="BX13" t="str">
            <v>T</v>
          </cell>
          <cell r="BY13">
            <v>0</v>
          </cell>
          <cell r="BZ13">
            <v>0</v>
          </cell>
          <cell r="CA13" t="str">
            <v>S</v>
          </cell>
          <cell r="CB13">
            <v>0</v>
          </cell>
          <cell r="CC13">
            <v>0</v>
          </cell>
          <cell r="CD13" t="str">
            <v>T</v>
          </cell>
          <cell r="CE13">
            <v>0</v>
          </cell>
          <cell r="CF13">
            <v>0</v>
          </cell>
          <cell r="CG13" t="str">
            <v>T</v>
          </cell>
          <cell r="CH13">
            <v>0</v>
          </cell>
          <cell r="CI13">
            <v>0</v>
          </cell>
          <cell r="CJ13" t="str">
            <v>T</v>
          </cell>
          <cell r="CK13">
            <v>0</v>
          </cell>
          <cell r="CL13">
            <v>0</v>
          </cell>
          <cell r="CM13" t="str">
            <v>T</v>
          </cell>
          <cell r="CN13">
            <v>0</v>
          </cell>
          <cell r="CO13">
            <v>0</v>
          </cell>
          <cell r="CP13" t="str">
            <v>T</v>
          </cell>
          <cell r="CQ13">
            <v>0</v>
          </cell>
          <cell r="CR13">
            <v>0</v>
          </cell>
          <cell r="CS13" t="str">
            <v>T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9</v>
          </cell>
          <cell r="DI13">
            <v>0</v>
          </cell>
          <cell r="DJ13">
            <v>0</v>
          </cell>
          <cell r="DK13">
            <v>0</v>
          </cell>
          <cell r="DL13">
            <v>4</v>
          </cell>
          <cell r="DM13">
            <v>0</v>
          </cell>
          <cell r="DN13">
            <v>28</v>
          </cell>
          <cell r="DO13">
            <v>24</v>
          </cell>
          <cell r="DP13">
            <v>0</v>
          </cell>
          <cell r="DQ13">
            <v>0</v>
          </cell>
          <cell r="DR13">
            <v>0</v>
          </cell>
        </row>
        <row r="14">
          <cell r="D14" t="str">
            <v>NPIP0104</v>
          </cell>
          <cell r="E14" t="str">
            <v>Active</v>
          </cell>
          <cell r="F14" t="str">
            <v>Direct</v>
          </cell>
          <cell r="G14" t="str">
            <v>Sanjay Ram sajivan</v>
          </cell>
          <cell r="H14" t="str">
            <v>Direct Labour Wage</v>
          </cell>
          <cell r="I14" t="str">
            <v>EC2521450659-01E</v>
          </cell>
          <cell r="J14" t="str">
            <v>UNIT-2</v>
          </cell>
          <cell r="K14" t="str">
            <v>Bushing</v>
          </cell>
          <cell r="L14" t="str">
            <v>Winding</v>
          </cell>
          <cell r="M14" t="str">
            <v>Operator</v>
          </cell>
          <cell r="N14">
            <v>45895</v>
          </cell>
          <cell r="O14">
            <v>0.52602739726027392</v>
          </cell>
          <cell r="P14" t="str">
            <v>S</v>
          </cell>
          <cell r="Q14">
            <v>0</v>
          </cell>
          <cell r="R14">
            <v>5</v>
          </cell>
          <cell r="S14" t="str">
            <v>T</v>
          </cell>
          <cell r="T14">
            <v>0</v>
          </cell>
          <cell r="U14">
            <v>0</v>
          </cell>
          <cell r="V14" t="str">
            <v>T</v>
          </cell>
          <cell r="W14">
            <v>0</v>
          </cell>
          <cell r="X14">
            <v>0</v>
          </cell>
          <cell r="Y14" t="str">
            <v>T</v>
          </cell>
          <cell r="Z14">
            <v>0</v>
          </cell>
          <cell r="AA14">
            <v>0</v>
          </cell>
          <cell r="AB14" t="str">
            <v>P</v>
          </cell>
          <cell r="AC14">
            <v>0</v>
          </cell>
          <cell r="AD14">
            <v>1.5</v>
          </cell>
          <cell r="AE14" t="str">
            <v>T</v>
          </cell>
          <cell r="AF14">
            <v>0</v>
          </cell>
          <cell r="AG14">
            <v>0</v>
          </cell>
          <cell r="AH14" t="str">
            <v>T</v>
          </cell>
          <cell r="AI14">
            <v>0</v>
          </cell>
          <cell r="AJ14">
            <v>0</v>
          </cell>
          <cell r="AK14" t="str">
            <v>S</v>
          </cell>
          <cell r="AL14">
            <v>0</v>
          </cell>
          <cell r="AM14">
            <v>0</v>
          </cell>
          <cell r="AN14" t="str">
            <v>T</v>
          </cell>
          <cell r="AO14">
            <v>0</v>
          </cell>
          <cell r="AP14">
            <v>0</v>
          </cell>
          <cell r="AQ14" t="str">
            <v>T</v>
          </cell>
          <cell r="AR14">
            <v>0</v>
          </cell>
          <cell r="AS14">
            <v>0</v>
          </cell>
          <cell r="AT14" t="str">
            <v>T</v>
          </cell>
          <cell r="AU14">
            <v>0</v>
          </cell>
          <cell r="AV14">
            <v>0</v>
          </cell>
          <cell r="AW14" t="str">
            <v>T</v>
          </cell>
          <cell r="AX14">
            <v>0</v>
          </cell>
          <cell r="AY14">
            <v>0</v>
          </cell>
          <cell r="AZ14" t="str">
            <v>T</v>
          </cell>
          <cell r="BA14">
            <v>0</v>
          </cell>
          <cell r="BB14">
            <v>0</v>
          </cell>
          <cell r="BC14" t="str">
            <v>T</v>
          </cell>
          <cell r="BD14">
            <v>0</v>
          </cell>
          <cell r="BE14">
            <v>0</v>
          </cell>
          <cell r="BF14" t="str">
            <v>T</v>
          </cell>
          <cell r="BG14">
            <v>0</v>
          </cell>
          <cell r="BH14">
            <v>0</v>
          </cell>
          <cell r="BI14" t="str">
            <v>T</v>
          </cell>
          <cell r="BJ14">
            <v>0</v>
          </cell>
          <cell r="BK14">
            <v>0</v>
          </cell>
          <cell r="BL14" t="str">
            <v>T</v>
          </cell>
          <cell r="BM14">
            <v>0</v>
          </cell>
          <cell r="BN14">
            <v>0</v>
          </cell>
          <cell r="BO14" t="str">
            <v>T</v>
          </cell>
          <cell r="BP14">
            <v>0</v>
          </cell>
          <cell r="BQ14">
            <v>0</v>
          </cell>
          <cell r="BR14" t="str">
            <v>T</v>
          </cell>
          <cell r="BS14">
            <v>0</v>
          </cell>
          <cell r="BT14">
            <v>0</v>
          </cell>
          <cell r="BU14" t="str">
            <v>T</v>
          </cell>
          <cell r="BV14">
            <v>0</v>
          </cell>
          <cell r="BW14">
            <v>0</v>
          </cell>
          <cell r="BX14" t="str">
            <v>T</v>
          </cell>
          <cell r="BY14">
            <v>0</v>
          </cell>
          <cell r="BZ14">
            <v>0</v>
          </cell>
          <cell r="CA14" t="str">
            <v>T</v>
          </cell>
          <cell r="CB14">
            <v>0</v>
          </cell>
          <cell r="CC14">
            <v>0</v>
          </cell>
          <cell r="CD14" t="str">
            <v>T</v>
          </cell>
          <cell r="CE14">
            <v>0</v>
          </cell>
          <cell r="CF14">
            <v>0</v>
          </cell>
          <cell r="CG14" t="str">
            <v>T</v>
          </cell>
          <cell r="CH14">
            <v>0</v>
          </cell>
          <cell r="CI14">
            <v>0</v>
          </cell>
          <cell r="CJ14" t="str">
            <v>T</v>
          </cell>
          <cell r="CK14">
            <v>0</v>
          </cell>
          <cell r="CL14">
            <v>0</v>
          </cell>
          <cell r="CM14" t="str">
            <v>T</v>
          </cell>
          <cell r="CN14">
            <v>0</v>
          </cell>
          <cell r="CO14">
            <v>0</v>
          </cell>
          <cell r="CP14" t="str">
            <v>T</v>
          </cell>
          <cell r="CQ14">
            <v>0</v>
          </cell>
          <cell r="CR14">
            <v>0</v>
          </cell>
          <cell r="CS14" t="str">
            <v>T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1</v>
          </cell>
          <cell r="DG14">
            <v>0</v>
          </cell>
          <cell r="DH14">
            <v>6.5</v>
          </cell>
          <cell r="DI14">
            <v>0</v>
          </cell>
          <cell r="DJ14">
            <v>0</v>
          </cell>
          <cell r="DK14">
            <v>0</v>
          </cell>
          <cell r="DL14">
            <v>2</v>
          </cell>
          <cell r="DM14">
            <v>1</v>
          </cell>
          <cell r="DN14">
            <v>28</v>
          </cell>
          <cell r="DO14">
            <v>25</v>
          </cell>
          <cell r="DP14">
            <v>0</v>
          </cell>
          <cell r="DQ14">
            <v>0</v>
          </cell>
          <cell r="DR14">
            <v>0</v>
          </cell>
        </row>
        <row r="15">
          <cell r="D15" t="str">
            <v>SHE201</v>
          </cell>
          <cell r="E15" t="str">
            <v>Active</v>
          </cell>
          <cell r="F15" t="str">
            <v>In Direct</v>
          </cell>
          <cell r="G15" t="str">
            <v>MALI RAHULBHAI VINODBHAI</v>
          </cell>
          <cell r="H15" t="str">
            <v>InDirect Labour Wage</v>
          </cell>
          <cell r="I15" t="str">
            <v>EC2521480452-01E</v>
          </cell>
          <cell r="J15" t="str">
            <v>UNIT-2</v>
          </cell>
          <cell r="K15" t="str">
            <v>MV</v>
          </cell>
          <cell r="L15" t="str">
            <v>Packing</v>
          </cell>
          <cell r="M15" t="str">
            <v>Helper</v>
          </cell>
          <cell r="N15">
            <v>44758</v>
          </cell>
          <cell r="O15">
            <v>3.6410958904109587</v>
          </cell>
          <cell r="P15" t="str">
            <v>S</v>
          </cell>
          <cell r="Q15">
            <v>0</v>
          </cell>
          <cell r="R15">
            <v>0</v>
          </cell>
          <cell r="S15" t="str">
            <v>P</v>
          </cell>
          <cell r="T15">
            <v>0</v>
          </cell>
          <cell r="U15">
            <v>0</v>
          </cell>
          <cell r="V15" t="str">
            <v>P</v>
          </cell>
          <cell r="W15">
            <v>0</v>
          </cell>
          <cell r="X15">
            <v>1</v>
          </cell>
          <cell r="Y15" t="str">
            <v>P</v>
          </cell>
          <cell r="Z15">
            <v>0</v>
          </cell>
          <cell r="AA15">
            <v>0</v>
          </cell>
          <cell r="AB15" t="str">
            <v>P</v>
          </cell>
          <cell r="AC15">
            <v>0</v>
          </cell>
          <cell r="AD15">
            <v>1</v>
          </cell>
          <cell r="AE15" t="str">
            <v>P</v>
          </cell>
          <cell r="AF15">
            <v>0</v>
          </cell>
          <cell r="AG15">
            <v>0</v>
          </cell>
          <cell r="AH15" t="str">
            <v>P</v>
          </cell>
          <cell r="AI15">
            <v>0</v>
          </cell>
          <cell r="AJ15">
            <v>0</v>
          </cell>
          <cell r="AK15" t="str">
            <v>S</v>
          </cell>
          <cell r="AL15">
            <v>0</v>
          </cell>
          <cell r="AM15">
            <v>0</v>
          </cell>
          <cell r="AN15" t="str">
            <v>P</v>
          </cell>
          <cell r="AO15">
            <v>0</v>
          </cell>
          <cell r="AP15">
            <v>0</v>
          </cell>
          <cell r="AQ15" t="str">
            <v>P</v>
          </cell>
          <cell r="AR15">
            <v>0</v>
          </cell>
          <cell r="AS15">
            <v>0</v>
          </cell>
          <cell r="AT15" t="str">
            <v>P</v>
          </cell>
          <cell r="AU15">
            <v>0</v>
          </cell>
          <cell r="AV15">
            <v>0</v>
          </cell>
          <cell r="AW15" t="str">
            <v>P</v>
          </cell>
          <cell r="AX15">
            <v>0</v>
          </cell>
          <cell r="AY15">
            <v>0</v>
          </cell>
          <cell r="AZ15" t="str">
            <v>P</v>
          </cell>
          <cell r="BA15">
            <v>0</v>
          </cell>
          <cell r="BB15">
            <v>0</v>
          </cell>
          <cell r="BC15" t="str">
            <v>P</v>
          </cell>
          <cell r="BD15">
            <v>0</v>
          </cell>
          <cell r="BE15">
            <v>0</v>
          </cell>
          <cell r="BF15" t="str">
            <v>S</v>
          </cell>
          <cell r="BG15">
            <v>0</v>
          </cell>
          <cell r="BH15">
            <v>0</v>
          </cell>
          <cell r="BI15" t="str">
            <v>P</v>
          </cell>
          <cell r="BJ15">
            <v>0</v>
          </cell>
          <cell r="BK15">
            <v>0</v>
          </cell>
          <cell r="BL15" t="str">
            <v>P</v>
          </cell>
          <cell r="BM15">
            <v>0</v>
          </cell>
          <cell r="BN15">
            <v>0</v>
          </cell>
          <cell r="BO15" t="str">
            <v>P</v>
          </cell>
          <cell r="BP15">
            <v>0</v>
          </cell>
          <cell r="BQ15">
            <v>0</v>
          </cell>
          <cell r="BR15" t="str">
            <v>P</v>
          </cell>
          <cell r="BS15">
            <v>0</v>
          </cell>
          <cell r="BT15">
            <v>0</v>
          </cell>
          <cell r="BU15" t="str">
            <v>P</v>
          </cell>
          <cell r="BV15">
            <v>0</v>
          </cell>
          <cell r="BW15">
            <v>0</v>
          </cell>
          <cell r="BX15" t="str">
            <v>A</v>
          </cell>
          <cell r="BY15">
            <v>0</v>
          </cell>
          <cell r="BZ15">
            <v>0</v>
          </cell>
          <cell r="CA15" t="str">
            <v>S</v>
          </cell>
          <cell r="CB15">
            <v>0</v>
          </cell>
          <cell r="CC15">
            <v>0</v>
          </cell>
          <cell r="CD15" t="str">
            <v>P</v>
          </cell>
          <cell r="CE15">
            <v>0</v>
          </cell>
          <cell r="CF15">
            <v>0</v>
          </cell>
          <cell r="CG15" t="str">
            <v>A</v>
          </cell>
          <cell r="CH15">
            <v>0</v>
          </cell>
          <cell r="CI15">
            <v>0</v>
          </cell>
          <cell r="CJ15" t="str">
            <v>P</v>
          </cell>
          <cell r="CK15">
            <v>0</v>
          </cell>
          <cell r="CL15">
            <v>0</v>
          </cell>
          <cell r="CM15" t="str">
            <v>P</v>
          </cell>
          <cell r="CN15">
            <v>0</v>
          </cell>
          <cell r="CO15">
            <v>0</v>
          </cell>
          <cell r="CP15" t="str">
            <v>P</v>
          </cell>
          <cell r="CQ15">
            <v>0</v>
          </cell>
          <cell r="CR15">
            <v>0</v>
          </cell>
          <cell r="CS15" t="str">
            <v>P</v>
          </cell>
          <cell r="CT15">
            <v>0</v>
          </cell>
          <cell r="CU15">
            <v>3.5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22</v>
          </cell>
          <cell r="DG15">
            <v>0</v>
          </cell>
          <cell r="DH15">
            <v>5.5</v>
          </cell>
          <cell r="DI15">
            <v>2</v>
          </cell>
          <cell r="DJ15">
            <v>0</v>
          </cell>
          <cell r="DK15">
            <v>0</v>
          </cell>
          <cell r="DL15">
            <v>4</v>
          </cell>
          <cell r="DM15">
            <v>22</v>
          </cell>
          <cell r="DN15">
            <v>28</v>
          </cell>
          <cell r="DO15">
            <v>0</v>
          </cell>
          <cell r="DP15">
            <v>0</v>
          </cell>
          <cell r="DQ15">
            <v>0</v>
          </cell>
          <cell r="DR15">
            <v>200</v>
          </cell>
        </row>
        <row r="16">
          <cell r="D16" t="str">
            <v>SHE203</v>
          </cell>
          <cell r="E16" t="str">
            <v>Active</v>
          </cell>
          <cell r="F16" t="str">
            <v>In Direct</v>
          </cell>
          <cell r="G16" t="str">
            <v>PARMAR AJAYKUMAR ARVINDBHAI</v>
          </cell>
          <cell r="H16" t="str">
            <v>InDirect Labour Wage</v>
          </cell>
          <cell r="I16" t="str">
            <v>EC2521480379-01E</v>
          </cell>
          <cell r="J16" t="str">
            <v>UNIT-2</v>
          </cell>
          <cell r="K16" t="str">
            <v>Store</v>
          </cell>
          <cell r="L16" t="str">
            <v>Store</v>
          </cell>
          <cell r="M16" t="str">
            <v>Helper</v>
          </cell>
          <cell r="N16">
            <v>44781</v>
          </cell>
          <cell r="O16">
            <v>3.5780821917808221</v>
          </cell>
          <cell r="P16" t="str">
            <v>S</v>
          </cell>
          <cell r="Q16">
            <v>0</v>
          </cell>
          <cell r="R16">
            <v>0</v>
          </cell>
          <cell r="S16" t="str">
            <v>A</v>
          </cell>
          <cell r="T16">
            <v>0</v>
          </cell>
          <cell r="U16">
            <v>0</v>
          </cell>
          <cell r="V16" t="str">
            <v>A</v>
          </cell>
          <cell r="W16">
            <v>0</v>
          </cell>
          <cell r="X16">
            <v>0</v>
          </cell>
          <cell r="Y16" t="str">
            <v>A</v>
          </cell>
          <cell r="Z16">
            <v>0</v>
          </cell>
          <cell r="AA16">
            <v>0</v>
          </cell>
          <cell r="AB16" t="str">
            <v>P</v>
          </cell>
          <cell r="AC16">
            <v>0</v>
          </cell>
          <cell r="AD16">
            <v>0</v>
          </cell>
          <cell r="AE16" t="str">
            <v>P</v>
          </cell>
          <cell r="AF16">
            <v>0</v>
          </cell>
          <cell r="AG16">
            <v>0</v>
          </cell>
          <cell r="AH16" t="str">
            <v>P</v>
          </cell>
          <cell r="AI16">
            <v>0</v>
          </cell>
          <cell r="AJ16">
            <v>0</v>
          </cell>
          <cell r="AK16" t="str">
            <v>S</v>
          </cell>
          <cell r="AL16">
            <v>0</v>
          </cell>
          <cell r="AM16">
            <v>0</v>
          </cell>
          <cell r="AN16" t="str">
            <v>P</v>
          </cell>
          <cell r="AO16">
            <v>0</v>
          </cell>
          <cell r="AP16">
            <v>0</v>
          </cell>
          <cell r="AQ16" t="str">
            <v>A</v>
          </cell>
          <cell r="AR16">
            <v>0</v>
          </cell>
          <cell r="AS16">
            <v>0</v>
          </cell>
          <cell r="AT16" t="str">
            <v>P</v>
          </cell>
          <cell r="AU16">
            <v>0</v>
          </cell>
          <cell r="AV16">
            <v>0</v>
          </cell>
          <cell r="AW16" t="str">
            <v>P</v>
          </cell>
          <cell r="AX16">
            <v>0</v>
          </cell>
          <cell r="AY16">
            <v>1</v>
          </cell>
          <cell r="AZ16" t="str">
            <v>P</v>
          </cell>
          <cell r="BA16">
            <v>0</v>
          </cell>
          <cell r="BB16">
            <v>0</v>
          </cell>
          <cell r="BC16" t="str">
            <v>P</v>
          </cell>
          <cell r="BD16">
            <v>0</v>
          </cell>
          <cell r="BE16">
            <v>0</v>
          </cell>
          <cell r="BF16" t="str">
            <v>S</v>
          </cell>
          <cell r="BG16">
            <v>0</v>
          </cell>
          <cell r="BH16">
            <v>0</v>
          </cell>
          <cell r="BI16" t="str">
            <v>P</v>
          </cell>
          <cell r="BJ16">
            <v>0</v>
          </cell>
          <cell r="BK16">
            <v>0</v>
          </cell>
          <cell r="BL16" t="str">
            <v>P</v>
          </cell>
          <cell r="BM16">
            <v>0</v>
          </cell>
          <cell r="BN16">
            <v>0</v>
          </cell>
          <cell r="BO16" t="str">
            <v>P</v>
          </cell>
          <cell r="BP16">
            <v>0</v>
          </cell>
          <cell r="BQ16">
            <v>0</v>
          </cell>
          <cell r="BR16" t="str">
            <v>P</v>
          </cell>
          <cell r="BS16">
            <v>0</v>
          </cell>
          <cell r="BT16">
            <v>0</v>
          </cell>
          <cell r="BU16" t="str">
            <v>P</v>
          </cell>
          <cell r="BV16">
            <v>0</v>
          </cell>
          <cell r="BW16">
            <v>0</v>
          </cell>
          <cell r="BX16" t="str">
            <v>P</v>
          </cell>
          <cell r="BY16">
            <v>0</v>
          </cell>
          <cell r="BZ16">
            <v>0</v>
          </cell>
          <cell r="CA16" t="str">
            <v>S</v>
          </cell>
          <cell r="CB16">
            <v>0</v>
          </cell>
          <cell r="CC16">
            <v>0</v>
          </cell>
          <cell r="CD16" t="str">
            <v>P</v>
          </cell>
          <cell r="CE16">
            <v>0</v>
          </cell>
          <cell r="CF16">
            <v>0</v>
          </cell>
          <cell r="CG16" t="str">
            <v>P</v>
          </cell>
          <cell r="CH16">
            <v>0</v>
          </cell>
          <cell r="CI16">
            <v>0</v>
          </cell>
          <cell r="CJ16" t="str">
            <v>P</v>
          </cell>
          <cell r="CK16">
            <v>0</v>
          </cell>
          <cell r="CL16">
            <v>0</v>
          </cell>
          <cell r="CM16" t="str">
            <v>P</v>
          </cell>
          <cell r="CN16">
            <v>0</v>
          </cell>
          <cell r="CO16">
            <v>0</v>
          </cell>
          <cell r="CP16" t="str">
            <v>P</v>
          </cell>
          <cell r="CQ16">
            <v>0</v>
          </cell>
          <cell r="CR16">
            <v>0</v>
          </cell>
          <cell r="CS16" t="str">
            <v>P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20</v>
          </cell>
          <cell r="DG16">
            <v>0</v>
          </cell>
          <cell r="DH16">
            <v>1</v>
          </cell>
          <cell r="DI16">
            <v>4</v>
          </cell>
          <cell r="DJ16">
            <v>0</v>
          </cell>
          <cell r="DK16">
            <v>0</v>
          </cell>
          <cell r="DL16">
            <v>4</v>
          </cell>
          <cell r="DM16">
            <v>20</v>
          </cell>
          <cell r="DN16">
            <v>28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</row>
        <row r="17">
          <cell r="D17" t="str">
            <v>SHE235</v>
          </cell>
          <cell r="E17" t="str">
            <v>Active</v>
          </cell>
          <cell r="F17" t="str">
            <v>In Direct</v>
          </cell>
          <cell r="G17" t="str">
            <v>MAHESHBHAI MAFATBHAI RAVAL</v>
          </cell>
          <cell r="H17" t="str">
            <v>InDirect Labour Wage</v>
          </cell>
          <cell r="I17" t="str">
            <v>EC2521480439-01E</v>
          </cell>
          <cell r="J17" t="str">
            <v>UNIT-2</v>
          </cell>
          <cell r="K17" t="str">
            <v>MV</v>
          </cell>
          <cell r="L17" t="str">
            <v>Packing</v>
          </cell>
          <cell r="M17" t="str">
            <v>Helper</v>
          </cell>
          <cell r="N17">
            <v>44896</v>
          </cell>
          <cell r="O17">
            <v>3.2630136986301368</v>
          </cell>
          <cell r="P17" t="str">
            <v>S</v>
          </cell>
          <cell r="Q17">
            <v>0</v>
          </cell>
          <cell r="R17">
            <v>0</v>
          </cell>
          <cell r="S17" t="str">
            <v>P</v>
          </cell>
          <cell r="T17">
            <v>0</v>
          </cell>
          <cell r="U17">
            <v>0</v>
          </cell>
          <cell r="V17" t="str">
            <v>P</v>
          </cell>
          <cell r="W17">
            <v>0</v>
          </cell>
          <cell r="X17">
            <v>0</v>
          </cell>
          <cell r="Y17" t="str">
            <v>P</v>
          </cell>
          <cell r="Z17">
            <v>0</v>
          </cell>
          <cell r="AA17">
            <v>0</v>
          </cell>
          <cell r="AB17" t="str">
            <v>P</v>
          </cell>
          <cell r="AC17">
            <v>0</v>
          </cell>
          <cell r="AD17">
            <v>1</v>
          </cell>
          <cell r="AE17" t="str">
            <v>A</v>
          </cell>
          <cell r="AF17">
            <v>0</v>
          </cell>
          <cell r="AG17">
            <v>0</v>
          </cell>
          <cell r="AH17" t="str">
            <v>A</v>
          </cell>
          <cell r="AI17">
            <v>0</v>
          </cell>
          <cell r="AJ17">
            <v>0</v>
          </cell>
          <cell r="AK17" t="str">
            <v>S</v>
          </cell>
          <cell r="AL17">
            <v>0</v>
          </cell>
          <cell r="AM17">
            <v>0</v>
          </cell>
          <cell r="AN17" t="str">
            <v>P</v>
          </cell>
          <cell r="AO17">
            <v>0</v>
          </cell>
          <cell r="AP17">
            <v>0</v>
          </cell>
          <cell r="AQ17" t="str">
            <v>P</v>
          </cell>
          <cell r="AR17">
            <v>0</v>
          </cell>
          <cell r="AS17">
            <v>0</v>
          </cell>
          <cell r="AT17" t="str">
            <v>P</v>
          </cell>
          <cell r="AU17">
            <v>0</v>
          </cell>
          <cell r="AV17">
            <v>0</v>
          </cell>
          <cell r="AW17" t="str">
            <v>P</v>
          </cell>
          <cell r="AX17">
            <v>0</v>
          </cell>
          <cell r="AY17">
            <v>0</v>
          </cell>
          <cell r="AZ17" t="str">
            <v>P</v>
          </cell>
          <cell r="BA17">
            <v>0</v>
          </cell>
          <cell r="BB17">
            <v>0</v>
          </cell>
          <cell r="BC17" t="str">
            <v>P</v>
          </cell>
          <cell r="BD17">
            <v>0</v>
          </cell>
          <cell r="BE17">
            <v>0</v>
          </cell>
          <cell r="BF17" t="str">
            <v>S</v>
          </cell>
          <cell r="BG17">
            <v>0</v>
          </cell>
          <cell r="BH17">
            <v>0</v>
          </cell>
          <cell r="BI17" t="str">
            <v>P</v>
          </cell>
          <cell r="BJ17">
            <v>0</v>
          </cell>
          <cell r="BK17">
            <v>0</v>
          </cell>
          <cell r="BL17" t="str">
            <v>P</v>
          </cell>
          <cell r="BM17">
            <v>0</v>
          </cell>
          <cell r="BN17">
            <v>0</v>
          </cell>
          <cell r="BO17" t="str">
            <v>P</v>
          </cell>
          <cell r="BP17">
            <v>0</v>
          </cell>
          <cell r="BQ17">
            <v>0</v>
          </cell>
          <cell r="BR17" t="str">
            <v>P</v>
          </cell>
          <cell r="BS17">
            <v>0</v>
          </cell>
          <cell r="BT17">
            <v>0</v>
          </cell>
          <cell r="BU17" t="str">
            <v>P</v>
          </cell>
          <cell r="BV17">
            <v>0</v>
          </cell>
          <cell r="BW17">
            <v>0</v>
          </cell>
          <cell r="BX17" t="str">
            <v>P</v>
          </cell>
          <cell r="BY17">
            <v>0</v>
          </cell>
          <cell r="BZ17">
            <v>0</v>
          </cell>
          <cell r="CA17" t="str">
            <v>S</v>
          </cell>
          <cell r="CB17">
            <v>0</v>
          </cell>
          <cell r="CC17">
            <v>0</v>
          </cell>
          <cell r="CD17" t="str">
            <v>P</v>
          </cell>
          <cell r="CE17">
            <v>0</v>
          </cell>
          <cell r="CF17">
            <v>0</v>
          </cell>
          <cell r="CG17" t="str">
            <v>P</v>
          </cell>
          <cell r="CH17">
            <v>0</v>
          </cell>
          <cell r="CI17">
            <v>0</v>
          </cell>
          <cell r="CJ17" t="str">
            <v>P</v>
          </cell>
          <cell r="CK17">
            <v>0</v>
          </cell>
          <cell r="CL17">
            <v>0</v>
          </cell>
          <cell r="CM17" t="str">
            <v>P</v>
          </cell>
          <cell r="CN17">
            <v>0</v>
          </cell>
          <cell r="CO17">
            <v>0</v>
          </cell>
          <cell r="CP17" t="str">
            <v>P</v>
          </cell>
          <cell r="CQ17">
            <v>0</v>
          </cell>
          <cell r="CR17">
            <v>0</v>
          </cell>
          <cell r="CS17" t="str">
            <v>P</v>
          </cell>
          <cell r="CT17">
            <v>0</v>
          </cell>
          <cell r="CU17">
            <v>3.5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22</v>
          </cell>
          <cell r="DG17">
            <v>0</v>
          </cell>
          <cell r="DH17">
            <v>4.5</v>
          </cell>
          <cell r="DI17">
            <v>2</v>
          </cell>
          <cell r="DJ17">
            <v>0</v>
          </cell>
          <cell r="DK17">
            <v>0</v>
          </cell>
          <cell r="DL17">
            <v>4</v>
          </cell>
          <cell r="DM17">
            <v>22</v>
          </cell>
          <cell r="DN17">
            <v>28</v>
          </cell>
          <cell r="DO17">
            <v>0</v>
          </cell>
          <cell r="DP17">
            <v>0</v>
          </cell>
          <cell r="DQ17">
            <v>0</v>
          </cell>
          <cell r="DR17">
            <v>400</v>
          </cell>
        </row>
        <row r="18">
          <cell r="D18" t="str">
            <v>NPH09</v>
          </cell>
          <cell r="E18" t="str">
            <v>Active</v>
          </cell>
          <cell r="F18" t="str">
            <v>In Direct</v>
          </cell>
          <cell r="G18" t="str">
            <v>PARMAR SANJAYSINH ARJUNSINH</v>
          </cell>
          <cell r="H18" t="str">
            <v>InDirect Labour Wage</v>
          </cell>
          <cell r="I18" t="str">
            <v>EC2521480384-01E</v>
          </cell>
          <cell r="J18" t="str">
            <v>UNIT-2</v>
          </cell>
          <cell r="K18" t="str">
            <v>Bushing</v>
          </cell>
          <cell r="L18" t="str">
            <v>Finishing &amp; Labelling</v>
          </cell>
          <cell r="M18" t="str">
            <v>Helper</v>
          </cell>
          <cell r="N18">
            <v>43998</v>
          </cell>
          <cell r="O18">
            <v>5.7232876712328764</v>
          </cell>
          <cell r="P18" t="str">
            <v>S</v>
          </cell>
          <cell r="Q18">
            <v>0</v>
          </cell>
          <cell r="R18">
            <v>0</v>
          </cell>
          <cell r="S18" t="str">
            <v>P</v>
          </cell>
          <cell r="T18">
            <v>0</v>
          </cell>
          <cell r="U18">
            <v>0</v>
          </cell>
          <cell r="V18" t="str">
            <v>P</v>
          </cell>
          <cell r="W18">
            <v>0</v>
          </cell>
          <cell r="X18">
            <v>0</v>
          </cell>
          <cell r="Y18" t="str">
            <v>P</v>
          </cell>
          <cell r="Z18">
            <v>0</v>
          </cell>
          <cell r="AA18">
            <v>0</v>
          </cell>
          <cell r="AB18" t="str">
            <v>P</v>
          </cell>
          <cell r="AC18">
            <v>0</v>
          </cell>
          <cell r="AD18">
            <v>0</v>
          </cell>
          <cell r="AE18" t="str">
            <v>P</v>
          </cell>
          <cell r="AF18">
            <v>0</v>
          </cell>
          <cell r="AG18">
            <v>0</v>
          </cell>
          <cell r="AH18" t="str">
            <v>P</v>
          </cell>
          <cell r="AI18">
            <v>0</v>
          </cell>
          <cell r="AJ18">
            <v>0</v>
          </cell>
          <cell r="AK18" t="str">
            <v>S</v>
          </cell>
          <cell r="AL18">
            <v>0</v>
          </cell>
          <cell r="AM18">
            <v>0</v>
          </cell>
          <cell r="AN18" t="str">
            <v>P</v>
          </cell>
          <cell r="AO18">
            <v>0</v>
          </cell>
          <cell r="AP18">
            <v>1.5</v>
          </cell>
          <cell r="AQ18" t="str">
            <v>P</v>
          </cell>
          <cell r="AR18">
            <v>0</v>
          </cell>
          <cell r="AS18">
            <v>6.5</v>
          </cell>
          <cell r="AT18" t="str">
            <v>P</v>
          </cell>
          <cell r="AU18">
            <v>0</v>
          </cell>
          <cell r="AV18">
            <v>0</v>
          </cell>
          <cell r="AW18" t="str">
            <v>A</v>
          </cell>
          <cell r="AX18">
            <v>0</v>
          </cell>
          <cell r="AY18">
            <v>0</v>
          </cell>
          <cell r="AZ18" t="str">
            <v>P</v>
          </cell>
          <cell r="BA18">
            <v>0</v>
          </cell>
          <cell r="BB18">
            <v>1</v>
          </cell>
          <cell r="BC18" t="str">
            <v>P</v>
          </cell>
          <cell r="BD18">
            <v>0</v>
          </cell>
          <cell r="BE18">
            <v>2.5</v>
          </cell>
          <cell r="BF18" t="str">
            <v>S</v>
          </cell>
          <cell r="BG18">
            <v>0</v>
          </cell>
          <cell r="BH18">
            <v>0</v>
          </cell>
          <cell r="BI18" t="str">
            <v>P</v>
          </cell>
          <cell r="BJ18">
            <v>0</v>
          </cell>
          <cell r="BK18">
            <v>1.5</v>
          </cell>
          <cell r="BL18" t="str">
            <v>P</v>
          </cell>
          <cell r="BM18">
            <v>0</v>
          </cell>
          <cell r="BN18">
            <v>0</v>
          </cell>
          <cell r="BO18" t="str">
            <v>P</v>
          </cell>
          <cell r="BP18">
            <v>0</v>
          </cell>
          <cell r="BQ18">
            <v>3.5</v>
          </cell>
          <cell r="BR18" t="str">
            <v>A</v>
          </cell>
          <cell r="BS18">
            <v>0</v>
          </cell>
          <cell r="BT18">
            <v>0</v>
          </cell>
          <cell r="BU18" t="str">
            <v>P</v>
          </cell>
          <cell r="BV18">
            <v>0</v>
          </cell>
          <cell r="BW18">
            <v>1.5</v>
          </cell>
          <cell r="BX18" t="str">
            <v>P</v>
          </cell>
          <cell r="BY18">
            <v>0</v>
          </cell>
          <cell r="BZ18">
            <v>0</v>
          </cell>
          <cell r="CA18" t="str">
            <v>S</v>
          </cell>
          <cell r="CB18">
            <v>0</v>
          </cell>
          <cell r="CC18">
            <v>0</v>
          </cell>
          <cell r="CD18" t="str">
            <v>P</v>
          </cell>
          <cell r="CE18">
            <v>0</v>
          </cell>
          <cell r="CF18">
            <v>2.5</v>
          </cell>
          <cell r="CG18" t="str">
            <v>P</v>
          </cell>
          <cell r="CH18">
            <v>0</v>
          </cell>
          <cell r="CI18">
            <v>0</v>
          </cell>
          <cell r="CJ18" t="str">
            <v>P</v>
          </cell>
          <cell r="CK18">
            <v>0</v>
          </cell>
          <cell r="CL18">
            <v>2.5</v>
          </cell>
          <cell r="CM18" t="str">
            <v>P</v>
          </cell>
          <cell r="CN18">
            <v>0</v>
          </cell>
          <cell r="CO18">
            <v>0</v>
          </cell>
          <cell r="CP18" t="str">
            <v>P</v>
          </cell>
          <cell r="CQ18">
            <v>0</v>
          </cell>
          <cell r="CR18">
            <v>2</v>
          </cell>
          <cell r="CS18" t="str">
            <v>P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22</v>
          </cell>
          <cell r="DG18">
            <v>0</v>
          </cell>
          <cell r="DH18">
            <v>25</v>
          </cell>
          <cell r="DI18">
            <v>2</v>
          </cell>
          <cell r="DJ18">
            <v>0</v>
          </cell>
          <cell r="DK18">
            <v>0</v>
          </cell>
          <cell r="DL18">
            <v>4</v>
          </cell>
          <cell r="DM18">
            <v>22</v>
          </cell>
          <cell r="DN18">
            <v>28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</row>
        <row r="19">
          <cell r="D19" t="str">
            <v>SHE227</v>
          </cell>
          <cell r="E19" t="str">
            <v>Active</v>
          </cell>
          <cell r="F19" t="str">
            <v>Direct</v>
          </cell>
          <cell r="G19" t="str">
            <v>ALTAF BASIR MALEK</v>
          </cell>
          <cell r="H19" t="str">
            <v>Direct Labour Wage</v>
          </cell>
          <cell r="I19" t="str">
            <v>EC2521480396-01E</v>
          </cell>
          <cell r="J19" t="str">
            <v>UNIT-2</v>
          </cell>
          <cell r="K19" t="str">
            <v>MV</v>
          </cell>
          <cell r="L19" t="str">
            <v>HV Winding</v>
          </cell>
          <cell r="M19" t="str">
            <v>Operator</v>
          </cell>
          <cell r="N19">
            <v>44867</v>
          </cell>
          <cell r="O19">
            <v>3.3424657534246576</v>
          </cell>
          <cell r="P19" t="str">
            <v>S</v>
          </cell>
          <cell r="Q19">
            <v>0</v>
          </cell>
          <cell r="R19">
            <v>0</v>
          </cell>
          <cell r="S19" t="str">
            <v>A</v>
          </cell>
          <cell r="T19">
            <v>0</v>
          </cell>
          <cell r="U19">
            <v>0</v>
          </cell>
          <cell r="V19" t="str">
            <v>A</v>
          </cell>
          <cell r="W19">
            <v>0</v>
          </cell>
          <cell r="X19">
            <v>0</v>
          </cell>
          <cell r="Y19" t="str">
            <v>A</v>
          </cell>
          <cell r="Z19">
            <v>0</v>
          </cell>
          <cell r="AA19">
            <v>0</v>
          </cell>
          <cell r="AB19" t="str">
            <v>A</v>
          </cell>
          <cell r="AC19">
            <v>0</v>
          </cell>
          <cell r="AD19">
            <v>0</v>
          </cell>
          <cell r="AE19" t="str">
            <v>A</v>
          </cell>
          <cell r="AF19">
            <v>0</v>
          </cell>
          <cell r="AG19">
            <v>0</v>
          </cell>
          <cell r="AH19" t="str">
            <v>A</v>
          </cell>
          <cell r="AI19">
            <v>0</v>
          </cell>
          <cell r="AJ19">
            <v>0</v>
          </cell>
          <cell r="AK19" t="str">
            <v>S</v>
          </cell>
          <cell r="AL19">
            <v>0</v>
          </cell>
          <cell r="AM19">
            <v>0</v>
          </cell>
          <cell r="AN19" t="str">
            <v>P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>
            <v>0</v>
          </cell>
          <cell r="AT19" t="str">
            <v>A</v>
          </cell>
          <cell r="AU19">
            <v>0</v>
          </cell>
          <cell r="AV19">
            <v>0</v>
          </cell>
          <cell r="AW19" t="str">
            <v>P</v>
          </cell>
          <cell r="AX19">
            <v>0</v>
          </cell>
          <cell r="AY19">
            <v>0</v>
          </cell>
          <cell r="AZ19" t="str">
            <v>P</v>
          </cell>
          <cell r="BA19">
            <v>0</v>
          </cell>
          <cell r="BB19">
            <v>0</v>
          </cell>
          <cell r="BC19" t="str">
            <v>P</v>
          </cell>
          <cell r="BD19">
            <v>0</v>
          </cell>
          <cell r="BE19">
            <v>0</v>
          </cell>
          <cell r="BF19" t="str">
            <v>S</v>
          </cell>
          <cell r="BG19">
            <v>0</v>
          </cell>
          <cell r="BH19">
            <v>0</v>
          </cell>
          <cell r="BI19" t="str">
            <v>P</v>
          </cell>
          <cell r="BJ19">
            <v>0</v>
          </cell>
          <cell r="BK19">
            <v>2</v>
          </cell>
          <cell r="BL19" t="str">
            <v>P</v>
          </cell>
          <cell r="BM19">
            <v>0</v>
          </cell>
          <cell r="BN19">
            <v>2</v>
          </cell>
          <cell r="BO19" t="str">
            <v>P</v>
          </cell>
          <cell r="BP19">
            <v>0</v>
          </cell>
          <cell r="BQ19">
            <v>1.5</v>
          </cell>
          <cell r="BR19" t="str">
            <v>P</v>
          </cell>
          <cell r="BS19">
            <v>0</v>
          </cell>
          <cell r="BT19">
            <v>2</v>
          </cell>
          <cell r="BU19" t="str">
            <v>P</v>
          </cell>
          <cell r="BV19">
            <v>0</v>
          </cell>
          <cell r="BW19">
            <v>2</v>
          </cell>
          <cell r="BX19" t="str">
            <v>P</v>
          </cell>
          <cell r="BY19">
            <v>0</v>
          </cell>
          <cell r="BZ19">
            <v>0</v>
          </cell>
          <cell r="CA19" t="str">
            <v>S</v>
          </cell>
          <cell r="CB19">
            <v>0</v>
          </cell>
          <cell r="CC19">
            <v>0</v>
          </cell>
          <cell r="CD19" t="str">
            <v>P</v>
          </cell>
          <cell r="CE19">
            <v>0</v>
          </cell>
          <cell r="CF19">
            <v>2</v>
          </cell>
          <cell r="CG19" t="str">
            <v>A</v>
          </cell>
          <cell r="CH19">
            <v>0</v>
          </cell>
          <cell r="CI19">
            <v>0</v>
          </cell>
          <cell r="CJ19" t="str">
            <v>A</v>
          </cell>
          <cell r="CK19">
            <v>0</v>
          </cell>
          <cell r="CL19">
            <v>0</v>
          </cell>
          <cell r="CM19" t="str">
            <v>P</v>
          </cell>
          <cell r="CN19">
            <v>0</v>
          </cell>
          <cell r="CO19">
            <v>2</v>
          </cell>
          <cell r="CP19" t="str">
            <v>P</v>
          </cell>
          <cell r="CQ19">
            <v>0</v>
          </cell>
          <cell r="CR19">
            <v>2.5</v>
          </cell>
          <cell r="CS19" t="str">
            <v>P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15</v>
          </cell>
          <cell r="DG19">
            <v>0</v>
          </cell>
          <cell r="DH19">
            <v>16</v>
          </cell>
          <cell r="DI19">
            <v>9</v>
          </cell>
          <cell r="DJ19">
            <v>0</v>
          </cell>
          <cell r="DK19">
            <v>0</v>
          </cell>
          <cell r="DL19">
            <v>4</v>
          </cell>
          <cell r="DM19">
            <v>15</v>
          </cell>
          <cell r="DN19">
            <v>28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</row>
        <row r="20">
          <cell r="D20" t="str">
            <v>SHE309</v>
          </cell>
          <cell r="E20" t="str">
            <v>Active</v>
          </cell>
          <cell r="F20" t="str">
            <v>In Direct</v>
          </cell>
          <cell r="G20" t="str">
            <v>Parmar Chatrasnih Raysingbhai</v>
          </cell>
          <cell r="H20" t="str">
            <v>InDirect Labour Wage</v>
          </cell>
          <cell r="I20" t="str">
            <v>EC2521480453-01E</v>
          </cell>
          <cell r="J20" t="str">
            <v>UNIT-2</v>
          </cell>
          <cell r="K20" t="str">
            <v>FG</v>
          </cell>
          <cell r="L20" t="str">
            <v>Mistry</v>
          </cell>
          <cell r="M20" t="str">
            <v>Helper</v>
          </cell>
          <cell r="N20">
            <v>45297</v>
          </cell>
          <cell r="O20">
            <v>2.1643835616438358</v>
          </cell>
          <cell r="P20" t="str">
            <v>S</v>
          </cell>
          <cell r="Q20">
            <v>0</v>
          </cell>
          <cell r="R20">
            <v>0</v>
          </cell>
          <cell r="S20" t="str">
            <v>P</v>
          </cell>
          <cell r="T20">
            <v>0</v>
          </cell>
          <cell r="U20">
            <v>0</v>
          </cell>
          <cell r="V20" t="str">
            <v>P</v>
          </cell>
          <cell r="W20">
            <v>0</v>
          </cell>
          <cell r="X20">
            <v>0</v>
          </cell>
          <cell r="Y20" t="str">
            <v>A</v>
          </cell>
          <cell r="Z20">
            <v>0</v>
          </cell>
          <cell r="AA20">
            <v>0</v>
          </cell>
          <cell r="AB20" t="str">
            <v>P</v>
          </cell>
          <cell r="AC20">
            <v>0</v>
          </cell>
          <cell r="AD20">
            <v>0</v>
          </cell>
          <cell r="AE20" t="str">
            <v>P</v>
          </cell>
          <cell r="AF20">
            <v>0</v>
          </cell>
          <cell r="AG20">
            <v>0</v>
          </cell>
          <cell r="AH20" t="str">
            <v>P</v>
          </cell>
          <cell r="AI20">
            <v>0</v>
          </cell>
          <cell r="AJ20">
            <v>0</v>
          </cell>
          <cell r="AK20" t="str">
            <v>S</v>
          </cell>
          <cell r="AL20">
            <v>0</v>
          </cell>
          <cell r="AM20">
            <v>0</v>
          </cell>
          <cell r="AN20" t="str">
            <v>P</v>
          </cell>
          <cell r="AO20">
            <v>0</v>
          </cell>
          <cell r="AP20">
            <v>0</v>
          </cell>
          <cell r="AQ20" t="str">
            <v>P</v>
          </cell>
          <cell r="AR20">
            <v>0</v>
          </cell>
          <cell r="AS20">
            <v>0</v>
          </cell>
          <cell r="AT20" t="str">
            <v>P</v>
          </cell>
          <cell r="AU20">
            <v>0</v>
          </cell>
          <cell r="AV20">
            <v>0</v>
          </cell>
          <cell r="AW20" t="str">
            <v>P</v>
          </cell>
          <cell r="AX20">
            <v>0</v>
          </cell>
          <cell r="AY20">
            <v>0</v>
          </cell>
          <cell r="AZ20" t="str">
            <v>P</v>
          </cell>
          <cell r="BA20">
            <v>0</v>
          </cell>
          <cell r="BB20">
            <v>0</v>
          </cell>
          <cell r="BC20" t="str">
            <v>P</v>
          </cell>
          <cell r="BD20">
            <v>0</v>
          </cell>
          <cell r="BE20">
            <v>0</v>
          </cell>
          <cell r="BF20" t="str">
            <v>S</v>
          </cell>
          <cell r="BG20">
            <v>0</v>
          </cell>
          <cell r="BH20">
            <v>0</v>
          </cell>
          <cell r="BI20" t="str">
            <v>P</v>
          </cell>
          <cell r="BJ20">
            <v>0</v>
          </cell>
          <cell r="BK20">
            <v>0</v>
          </cell>
          <cell r="BL20" t="str">
            <v>P</v>
          </cell>
          <cell r="BM20">
            <v>0</v>
          </cell>
          <cell r="BN20">
            <v>0</v>
          </cell>
          <cell r="BO20" t="str">
            <v>P</v>
          </cell>
          <cell r="BP20">
            <v>0</v>
          </cell>
          <cell r="BQ20">
            <v>0</v>
          </cell>
          <cell r="BR20" t="str">
            <v>P</v>
          </cell>
          <cell r="BS20">
            <v>0</v>
          </cell>
          <cell r="BT20">
            <v>0</v>
          </cell>
          <cell r="BU20" t="str">
            <v>P</v>
          </cell>
          <cell r="BV20">
            <v>0</v>
          </cell>
          <cell r="BW20">
            <v>0</v>
          </cell>
          <cell r="BX20" t="str">
            <v>P</v>
          </cell>
          <cell r="BY20">
            <v>0</v>
          </cell>
          <cell r="BZ20">
            <v>0</v>
          </cell>
          <cell r="CA20" t="str">
            <v>S</v>
          </cell>
          <cell r="CB20">
            <v>0</v>
          </cell>
          <cell r="CC20">
            <v>0</v>
          </cell>
          <cell r="CD20" t="str">
            <v>P</v>
          </cell>
          <cell r="CE20">
            <v>0</v>
          </cell>
          <cell r="CF20">
            <v>0</v>
          </cell>
          <cell r="CG20" t="str">
            <v>P</v>
          </cell>
          <cell r="CH20">
            <v>0</v>
          </cell>
          <cell r="CI20">
            <v>0</v>
          </cell>
          <cell r="CJ20" t="str">
            <v>P</v>
          </cell>
          <cell r="CK20">
            <v>0</v>
          </cell>
          <cell r="CL20">
            <v>0</v>
          </cell>
          <cell r="CM20" t="str">
            <v>P</v>
          </cell>
          <cell r="CN20">
            <v>0</v>
          </cell>
          <cell r="CO20">
            <v>0</v>
          </cell>
          <cell r="CP20" t="str">
            <v>P</v>
          </cell>
          <cell r="CQ20">
            <v>0</v>
          </cell>
          <cell r="CR20">
            <v>0</v>
          </cell>
          <cell r="CS20" t="str">
            <v>P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23</v>
          </cell>
          <cell r="DG20">
            <v>0</v>
          </cell>
          <cell r="DH20">
            <v>0</v>
          </cell>
          <cell r="DI20">
            <v>1</v>
          </cell>
          <cell r="DJ20">
            <v>0</v>
          </cell>
          <cell r="DK20">
            <v>0</v>
          </cell>
          <cell r="DL20">
            <v>4</v>
          </cell>
          <cell r="DM20">
            <v>23</v>
          </cell>
          <cell r="DN20">
            <v>28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</row>
        <row r="21">
          <cell r="D21" t="str">
            <v>MK0045</v>
          </cell>
          <cell r="E21" t="str">
            <v>Active</v>
          </cell>
          <cell r="F21" t="str">
            <v>Direct</v>
          </cell>
          <cell r="G21" t="str">
            <v>Chetan Sureshbhai Gohel</v>
          </cell>
          <cell r="H21" t="str">
            <v>Direct Labour Wage</v>
          </cell>
          <cell r="I21">
            <v>0</v>
          </cell>
          <cell r="J21" t="str">
            <v>UNIT-2</v>
          </cell>
          <cell r="K21" t="str">
            <v>MV</v>
          </cell>
          <cell r="L21" t="str">
            <v>Assembly</v>
          </cell>
          <cell r="M21" t="str">
            <v>Helper</v>
          </cell>
          <cell r="N21">
            <v>45780</v>
          </cell>
          <cell r="O21">
            <v>0.84109589041095889</v>
          </cell>
          <cell r="P21" t="str">
            <v>S</v>
          </cell>
          <cell r="Q21">
            <v>0</v>
          </cell>
          <cell r="R21">
            <v>0</v>
          </cell>
          <cell r="S21" t="str">
            <v>P</v>
          </cell>
          <cell r="T21">
            <v>0</v>
          </cell>
          <cell r="U21">
            <v>0</v>
          </cell>
          <cell r="V21" t="str">
            <v>P</v>
          </cell>
          <cell r="W21">
            <v>0</v>
          </cell>
          <cell r="X21">
            <v>0</v>
          </cell>
          <cell r="Y21" t="str">
            <v>P</v>
          </cell>
          <cell r="Z21">
            <v>0</v>
          </cell>
          <cell r="AA21">
            <v>0</v>
          </cell>
          <cell r="AB21" t="str">
            <v>P</v>
          </cell>
          <cell r="AC21">
            <v>0</v>
          </cell>
          <cell r="AD21">
            <v>0</v>
          </cell>
          <cell r="AE21" t="str">
            <v>P</v>
          </cell>
          <cell r="AF21">
            <v>0</v>
          </cell>
          <cell r="AG21">
            <v>0</v>
          </cell>
          <cell r="AH21" t="str">
            <v>P</v>
          </cell>
          <cell r="AI21">
            <v>0</v>
          </cell>
          <cell r="AJ21">
            <v>0</v>
          </cell>
          <cell r="AK21" t="str">
            <v>S</v>
          </cell>
          <cell r="AL21">
            <v>0</v>
          </cell>
          <cell r="AM21">
            <v>0</v>
          </cell>
          <cell r="AN21" t="str">
            <v>P</v>
          </cell>
          <cell r="AO21">
            <v>0</v>
          </cell>
          <cell r="AP21">
            <v>0</v>
          </cell>
          <cell r="AQ21" t="str">
            <v>A</v>
          </cell>
          <cell r="AR21">
            <v>0</v>
          </cell>
          <cell r="AS21">
            <v>0</v>
          </cell>
          <cell r="AT21" t="str">
            <v>P</v>
          </cell>
          <cell r="AU21">
            <v>0</v>
          </cell>
          <cell r="AV21">
            <v>0</v>
          </cell>
          <cell r="AW21" t="str">
            <v>P</v>
          </cell>
          <cell r="AX21">
            <v>0</v>
          </cell>
          <cell r="AY21">
            <v>0</v>
          </cell>
          <cell r="AZ21" t="str">
            <v>P</v>
          </cell>
          <cell r="BA21">
            <v>0</v>
          </cell>
          <cell r="BB21">
            <v>0</v>
          </cell>
          <cell r="BC21" t="str">
            <v>P</v>
          </cell>
          <cell r="BD21">
            <v>0</v>
          </cell>
          <cell r="BE21">
            <v>0</v>
          </cell>
          <cell r="BF21" t="str">
            <v>S</v>
          </cell>
          <cell r="BG21">
            <v>0</v>
          </cell>
          <cell r="BH21">
            <v>0</v>
          </cell>
          <cell r="BI21" t="str">
            <v>P</v>
          </cell>
          <cell r="BJ21">
            <v>0</v>
          </cell>
          <cell r="BK21">
            <v>0</v>
          </cell>
          <cell r="BL21" t="str">
            <v>P</v>
          </cell>
          <cell r="BM21">
            <v>0</v>
          </cell>
          <cell r="BN21">
            <v>0</v>
          </cell>
          <cell r="BO21" t="str">
            <v>A</v>
          </cell>
          <cell r="BP21">
            <v>0</v>
          </cell>
          <cell r="BQ21">
            <v>0</v>
          </cell>
          <cell r="BR21" t="str">
            <v>A</v>
          </cell>
          <cell r="BS21">
            <v>0</v>
          </cell>
          <cell r="BT21">
            <v>0</v>
          </cell>
          <cell r="BU21" t="str">
            <v>A</v>
          </cell>
          <cell r="BV21">
            <v>0</v>
          </cell>
          <cell r="BW21">
            <v>0</v>
          </cell>
          <cell r="BX21" t="str">
            <v>A</v>
          </cell>
          <cell r="BY21">
            <v>0</v>
          </cell>
          <cell r="BZ21">
            <v>0</v>
          </cell>
          <cell r="CA21" t="str">
            <v>A</v>
          </cell>
          <cell r="CB21">
            <v>0</v>
          </cell>
          <cell r="CC21">
            <v>0</v>
          </cell>
          <cell r="CD21" t="str">
            <v>A</v>
          </cell>
          <cell r="CE21">
            <v>0</v>
          </cell>
          <cell r="CF21">
            <v>0</v>
          </cell>
          <cell r="CG21" t="str">
            <v>P</v>
          </cell>
          <cell r="CH21">
            <v>0</v>
          </cell>
          <cell r="CI21">
            <v>0</v>
          </cell>
          <cell r="CJ21" t="str">
            <v>P</v>
          </cell>
          <cell r="CK21">
            <v>0</v>
          </cell>
          <cell r="CL21">
            <v>0</v>
          </cell>
          <cell r="CM21" t="str">
            <v>P</v>
          </cell>
          <cell r="CN21">
            <v>0</v>
          </cell>
          <cell r="CO21">
            <v>0</v>
          </cell>
          <cell r="CP21" t="str">
            <v>P</v>
          </cell>
          <cell r="CQ21">
            <v>0</v>
          </cell>
          <cell r="CR21">
            <v>0</v>
          </cell>
          <cell r="CS21" t="str">
            <v>P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18</v>
          </cell>
          <cell r="DG21">
            <v>0</v>
          </cell>
          <cell r="DH21">
            <v>0</v>
          </cell>
          <cell r="DI21">
            <v>7</v>
          </cell>
          <cell r="DJ21">
            <v>0</v>
          </cell>
          <cell r="DK21">
            <v>0</v>
          </cell>
          <cell r="DL21">
            <v>3</v>
          </cell>
          <cell r="DM21">
            <v>18</v>
          </cell>
          <cell r="DN21">
            <v>28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</row>
        <row r="22">
          <cell r="D22" t="str">
            <v>MK0059</v>
          </cell>
          <cell r="E22" t="str">
            <v>Active</v>
          </cell>
          <cell r="F22" t="str">
            <v>Direct</v>
          </cell>
          <cell r="G22" t="str">
            <v>Virendrabhai Maheshbhai Solanki</v>
          </cell>
          <cell r="H22" t="str">
            <v>Direct Labour Wage</v>
          </cell>
          <cell r="I22">
            <v>0</v>
          </cell>
          <cell r="J22" t="str">
            <v>UNIT-2</v>
          </cell>
          <cell r="K22" t="str">
            <v>Bushing</v>
          </cell>
          <cell r="L22" t="str">
            <v>Data Entry</v>
          </cell>
          <cell r="M22" t="str">
            <v>Data Entry Operator</v>
          </cell>
          <cell r="N22">
            <v>45811</v>
          </cell>
          <cell r="O22">
            <v>0.75616438356164384</v>
          </cell>
          <cell r="P22" t="str">
            <v>S</v>
          </cell>
          <cell r="Q22">
            <v>0</v>
          </cell>
          <cell r="R22">
            <v>5</v>
          </cell>
          <cell r="S22" t="str">
            <v>P</v>
          </cell>
          <cell r="T22">
            <v>0</v>
          </cell>
          <cell r="U22">
            <v>0</v>
          </cell>
          <cell r="V22" t="str">
            <v>P</v>
          </cell>
          <cell r="W22">
            <v>0</v>
          </cell>
          <cell r="X22">
            <v>0</v>
          </cell>
          <cell r="Y22" t="str">
            <v>P</v>
          </cell>
          <cell r="Z22">
            <v>0</v>
          </cell>
          <cell r="AA22">
            <v>0</v>
          </cell>
          <cell r="AB22" t="str">
            <v>P</v>
          </cell>
          <cell r="AC22">
            <v>0</v>
          </cell>
          <cell r="AD22">
            <v>0</v>
          </cell>
          <cell r="AE22" t="str">
            <v>P</v>
          </cell>
          <cell r="AF22">
            <v>0</v>
          </cell>
          <cell r="AG22">
            <v>0</v>
          </cell>
          <cell r="AH22" t="str">
            <v>P</v>
          </cell>
          <cell r="AI22">
            <v>0</v>
          </cell>
          <cell r="AJ22">
            <v>1</v>
          </cell>
          <cell r="AK22" t="str">
            <v>S</v>
          </cell>
          <cell r="AL22">
            <v>0</v>
          </cell>
          <cell r="AM22">
            <v>0</v>
          </cell>
          <cell r="AN22" t="str">
            <v>P</v>
          </cell>
          <cell r="AO22">
            <v>0</v>
          </cell>
          <cell r="AP22">
            <v>0</v>
          </cell>
          <cell r="AQ22" t="str">
            <v>P</v>
          </cell>
          <cell r="AR22">
            <v>0</v>
          </cell>
          <cell r="AS22">
            <v>0</v>
          </cell>
          <cell r="AT22" t="str">
            <v>A</v>
          </cell>
          <cell r="AU22">
            <v>0</v>
          </cell>
          <cell r="AV22">
            <v>0</v>
          </cell>
          <cell r="AW22" t="str">
            <v>A</v>
          </cell>
          <cell r="AX22">
            <v>0</v>
          </cell>
          <cell r="AY22">
            <v>0</v>
          </cell>
          <cell r="AZ22" t="str">
            <v>P</v>
          </cell>
          <cell r="BA22">
            <v>0</v>
          </cell>
          <cell r="BB22">
            <v>0</v>
          </cell>
          <cell r="BC22" t="str">
            <v>A</v>
          </cell>
          <cell r="BD22">
            <v>0</v>
          </cell>
          <cell r="BE22">
            <v>0</v>
          </cell>
          <cell r="BF22" t="str">
            <v>S</v>
          </cell>
          <cell r="BG22">
            <v>0</v>
          </cell>
          <cell r="BH22">
            <v>0</v>
          </cell>
          <cell r="BI22" t="str">
            <v>P</v>
          </cell>
          <cell r="BJ22">
            <v>0</v>
          </cell>
          <cell r="BK22">
            <v>0</v>
          </cell>
          <cell r="BL22" t="str">
            <v>P</v>
          </cell>
          <cell r="BM22">
            <v>0</v>
          </cell>
          <cell r="BN22">
            <v>0</v>
          </cell>
          <cell r="BO22" t="str">
            <v>P</v>
          </cell>
          <cell r="BP22">
            <v>0</v>
          </cell>
          <cell r="BQ22">
            <v>0</v>
          </cell>
          <cell r="BR22" t="str">
            <v>P</v>
          </cell>
          <cell r="BS22">
            <v>0</v>
          </cell>
          <cell r="BT22">
            <v>0</v>
          </cell>
          <cell r="BU22" t="str">
            <v>P</v>
          </cell>
          <cell r="BV22">
            <v>0</v>
          </cell>
          <cell r="BW22">
            <v>0</v>
          </cell>
          <cell r="BX22" t="str">
            <v>A</v>
          </cell>
          <cell r="BY22">
            <v>0</v>
          </cell>
          <cell r="BZ22">
            <v>0</v>
          </cell>
          <cell r="CA22" t="str">
            <v>S</v>
          </cell>
          <cell r="CB22">
            <v>0</v>
          </cell>
          <cell r="CC22">
            <v>0</v>
          </cell>
          <cell r="CD22" t="str">
            <v>P</v>
          </cell>
          <cell r="CE22">
            <v>0</v>
          </cell>
          <cell r="CF22">
            <v>0</v>
          </cell>
          <cell r="CG22" t="str">
            <v>P</v>
          </cell>
          <cell r="CH22">
            <v>0</v>
          </cell>
          <cell r="CI22">
            <v>0</v>
          </cell>
          <cell r="CJ22" t="str">
            <v>P</v>
          </cell>
          <cell r="CK22">
            <v>0</v>
          </cell>
          <cell r="CL22">
            <v>0</v>
          </cell>
          <cell r="CM22" t="str">
            <v>P</v>
          </cell>
          <cell r="CN22">
            <v>0</v>
          </cell>
          <cell r="CO22">
            <v>2</v>
          </cell>
          <cell r="CP22" t="str">
            <v>P</v>
          </cell>
          <cell r="CQ22">
            <v>0</v>
          </cell>
          <cell r="CR22">
            <v>3</v>
          </cell>
          <cell r="CS22" t="str">
            <v>P</v>
          </cell>
          <cell r="CT22">
            <v>0</v>
          </cell>
          <cell r="CU22">
            <v>4.5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20</v>
          </cell>
          <cell r="DG22">
            <v>0</v>
          </cell>
          <cell r="DH22">
            <v>15.5</v>
          </cell>
          <cell r="DI22">
            <v>4</v>
          </cell>
          <cell r="DJ22">
            <v>0</v>
          </cell>
          <cell r="DK22">
            <v>0</v>
          </cell>
          <cell r="DL22">
            <v>4</v>
          </cell>
          <cell r="DM22">
            <v>20</v>
          </cell>
          <cell r="DN22">
            <v>28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</row>
        <row r="23">
          <cell r="D23" t="str">
            <v>SHE344</v>
          </cell>
          <cell r="E23">
            <v>0</v>
          </cell>
          <cell r="F23" t="str">
            <v>Direct</v>
          </cell>
          <cell r="G23" t="str">
            <v>Jayesh Ranjitsinh Padhiyar</v>
          </cell>
          <cell r="H23" t="str">
            <v>Direct Labour Wage</v>
          </cell>
          <cell r="I23">
            <v>0</v>
          </cell>
          <cell r="J23" t="str">
            <v>UNIT-2</v>
          </cell>
          <cell r="K23" t="str">
            <v>Bushing</v>
          </cell>
          <cell r="L23" t="str">
            <v>Casting</v>
          </cell>
          <cell r="M23" t="str">
            <v>Helper</v>
          </cell>
          <cell r="N23">
            <v>45908</v>
          </cell>
          <cell r="O23">
            <v>0.49041095890410957</v>
          </cell>
          <cell r="P23" t="str">
            <v>S</v>
          </cell>
          <cell r="Q23">
            <v>0</v>
          </cell>
          <cell r="R23">
            <v>0</v>
          </cell>
          <cell r="S23" t="str">
            <v>P</v>
          </cell>
          <cell r="T23">
            <v>0</v>
          </cell>
          <cell r="U23">
            <v>0</v>
          </cell>
          <cell r="V23" t="str">
            <v>P</v>
          </cell>
          <cell r="W23">
            <v>0</v>
          </cell>
          <cell r="X23">
            <v>0</v>
          </cell>
          <cell r="Y23" t="str">
            <v>P</v>
          </cell>
          <cell r="Z23">
            <v>0</v>
          </cell>
          <cell r="AA23">
            <v>0</v>
          </cell>
          <cell r="AB23" t="str">
            <v>P</v>
          </cell>
          <cell r="AC23">
            <v>0</v>
          </cell>
          <cell r="AD23">
            <v>0</v>
          </cell>
          <cell r="AE23" t="str">
            <v>P</v>
          </cell>
          <cell r="AF23">
            <v>0</v>
          </cell>
          <cell r="AG23">
            <v>0</v>
          </cell>
          <cell r="AH23" t="str">
            <v>A</v>
          </cell>
          <cell r="AI23">
            <v>0</v>
          </cell>
          <cell r="AJ23">
            <v>0</v>
          </cell>
          <cell r="AK23" t="str">
            <v>S</v>
          </cell>
          <cell r="AL23">
            <v>0</v>
          </cell>
          <cell r="AM23">
            <v>0</v>
          </cell>
          <cell r="AN23" t="str">
            <v>P</v>
          </cell>
          <cell r="AO23">
            <v>0</v>
          </cell>
          <cell r="AP23">
            <v>0</v>
          </cell>
          <cell r="AQ23" t="str">
            <v>P</v>
          </cell>
          <cell r="AR23">
            <v>0</v>
          </cell>
          <cell r="AS23">
            <v>0</v>
          </cell>
          <cell r="AT23" t="str">
            <v>P</v>
          </cell>
          <cell r="AU23">
            <v>0</v>
          </cell>
          <cell r="AV23">
            <v>0</v>
          </cell>
          <cell r="AW23" t="str">
            <v>P</v>
          </cell>
          <cell r="AX23">
            <v>0</v>
          </cell>
          <cell r="AY23">
            <v>0</v>
          </cell>
          <cell r="AZ23" t="str">
            <v>P</v>
          </cell>
          <cell r="BA23">
            <v>0</v>
          </cell>
          <cell r="BB23">
            <v>0</v>
          </cell>
          <cell r="BC23" t="str">
            <v>P</v>
          </cell>
          <cell r="BD23">
            <v>0</v>
          </cell>
          <cell r="BE23">
            <v>0</v>
          </cell>
          <cell r="BF23" t="str">
            <v>S</v>
          </cell>
          <cell r="BG23">
            <v>0</v>
          </cell>
          <cell r="BH23">
            <v>0</v>
          </cell>
          <cell r="BI23" t="str">
            <v>P</v>
          </cell>
          <cell r="BJ23">
            <v>0</v>
          </cell>
          <cell r="BK23">
            <v>0</v>
          </cell>
          <cell r="BL23" t="str">
            <v>P</v>
          </cell>
          <cell r="BM23">
            <v>0</v>
          </cell>
          <cell r="BN23">
            <v>0</v>
          </cell>
          <cell r="BO23" t="str">
            <v>P</v>
          </cell>
          <cell r="BP23">
            <v>0</v>
          </cell>
          <cell r="BQ23">
            <v>0</v>
          </cell>
          <cell r="BR23" t="str">
            <v>P</v>
          </cell>
          <cell r="BS23">
            <v>0</v>
          </cell>
          <cell r="BT23">
            <v>0</v>
          </cell>
          <cell r="BU23" t="str">
            <v>P</v>
          </cell>
          <cell r="BV23">
            <v>0</v>
          </cell>
          <cell r="BW23">
            <v>0</v>
          </cell>
          <cell r="BX23" t="str">
            <v>P</v>
          </cell>
          <cell r="BY23">
            <v>0</v>
          </cell>
          <cell r="BZ23">
            <v>0</v>
          </cell>
          <cell r="CA23" t="str">
            <v>S</v>
          </cell>
          <cell r="CB23">
            <v>0</v>
          </cell>
          <cell r="CC23">
            <v>0</v>
          </cell>
          <cell r="CD23" t="str">
            <v>P</v>
          </cell>
          <cell r="CE23">
            <v>0</v>
          </cell>
          <cell r="CF23">
            <v>0</v>
          </cell>
          <cell r="CG23" t="str">
            <v>A</v>
          </cell>
          <cell r="CH23">
            <v>0</v>
          </cell>
          <cell r="CI23">
            <v>0</v>
          </cell>
          <cell r="CJ23" t="str">
            <v>P</v>
          </cell>
          <cell r="CK23">
            <v>0</v>
          </cell>
          <cell r="CL23">
            <v>0</v>
          </cell>
          <cell r="CM23" t="str">
            <v>P</v>
          </cell>
          <cell r="CN23">
            <v>0</v>
          </cell>
          <cell r="CO23">
            <v>0</v>
          </cell>
          <cell r="CP23" t="str">
            <v>P</v>
          </cell>
          <cell r="CQ23">
            <v>0</v>
          </cell>
          <cell r="CR23">
            <v>2.5</v>
          </cell>
          <cell r="CS23" t="str">
            <v>P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22</v>
          </cell>
          <cell r="DG23">
            <v>0</v>
          </cell>
          <cell r="DH23">
            <v>2.5</v>
          </cell>
          <cell r="DI23">
            <v>2</v>
          </cell>
          <cell r="DJ23">
            <v>0</v>
          </cell>
          <cell r="DK23">
            <v>0</v>
          </cell>
          <cell r="DL23">
            <v>4</v>
          </cell>
          <cell r="DM23">
            <v>22</v>
          </cell>
          <cell r="DN23">
            <v>28</v>
          </cell>
          <cell r="DO23">
            <v>0</v>
          </cell>
          <cell r="DP23">
            <v>0</v>
          </cell>
          <cell r="DQ23">
            <v>0</v>
          </cell>
          <cell r="DR23">
            <v>200</v>
          </cell>
        </row>
        <row r="24">
          <cell r="D24" t="str">
            <v>SHE349</v>
          </cell>
          <cell r="E24">
            <v>0</v>
          </cell>
          <cell r="F24" t="str">
            <v>Direct</v>
          </cell>
          <cell r="G24" t="str">
            <v>Vinay Kumar Gaya ram</v>
          </cell>
          <cell r="H24" t="str">
            <v>Direct Labour Wage</v>
          </cell>
          <cell r="I24">
            <v>0</v>
          </cell>
          <cell r="J24" t="str">
            <v>UNIT-2</v>
          </cell>
          <cell r="K24" t="str">
            <v>Bushing</v>
          </cell>
          <cell r="L24" t="str">
            <v>Winding</v>
          </cell>
          <cell r="M24" t="str">
            <v>Helper</v>
          </cell>
          <cell r="N24">
            <v>45930</v>
          </cell>
          <cell r="O24">
            <v>0.43013698630136987</v>
          </cell>
          <cell r="P24" t="str">
            <v>S</v>
          </cell>
          <cell r="Q24">
            <v>0</v>
          </cell>
          <cell r="R24">
            <v>5</v>
          </cell>
          <cell r="S24" t="str">
            <v>P</v>
          </cell>
          <cell r="T24">
            <v>0</v>
          </cell>
          <cell r="U24">
            <v>2</v>
          </cell>
          <cell r="V24" t="str">
            <v>P</v>
          </cell>
          <cell r="W24">
            <v>0</v>
          </cell>
          <cell r="X24">
            <v>0</v>
          </cell>
          <cell r="Y24" t="str">
            <v>P</v>
          </cell>
          <cell r="Z24">
            <v>0</v>
          </cell>
          <cell r="AA24">
            <v>0</v>
          </cell>
          <cell r="AB24" t="str">
            <v>P</v>
          </cell>
          <cell r="AC24">
            <v>0</v>
          </cell>
          <cell r="AD24">
            <v>0</v>
          </cell>
          <cell r="AE24" t="str">
            <v>P</v>
          </cell>
          <cell r="AF24">
            <v>0</v>
          </cell>
          <cell r="AG24">
            <v>0</v>
          </cell>
          <cell r="AH24" t="str">
            <v>P</v>
          </cell>
          <cell r="AI24">
            <v>0</v>
          </cell>
          <cell r="AJ24">
            <v>0</v>
          </cell>
          <cell r="AK24" t="str">
            <v>S</v>
          </cell>
          <cell r="AL24">
            <v>0</v>
          </cell>
          <cell r="AM24">
            <v>0</v>
          </cell>
          <cell r="AN24" t="str">
            <v>P</v>
          </cell>
          <cell r="AO24">
            <v>0</v>
          </cell>
          <cell r="AP24">
            <v>0</v>
          </cell>
          <cell r="AQ24" t="str">
            <v>P</v>
          </cell>
          <cell r="AR24">
            <v>0</v>
          </cell>
          <cell r="AS24">
            <v>0</v>
          </cell>
          <cell r="AT24" t="str">
            <v>P</v>
          </cell>
          <cell r="AU24">
            <v>0</v>
          </cell>
          <cell r="AV24">
            <v>0</v>
          </cell>
          <cell r="AW24" t="str">
            <v>P</v>
          </cell>
          <cell r="AX24">
            <v>0</v>
          </cell>
          <cell r="AY24">
            <v>0</v>
          </cell>
          <cell r="AZ24" t="str">
            <v>P</v>
          </cell>
          <cell r="BA24">
            <v>0</v>
          </cell>
          <cell r="BB24">
            <v>0</v>
          </cell>
          <cell r="BC24" t="str">
            <v>P</v>
          </cell>
          <cell r="BD24">
            <v>0</v>
          </cell>
          <cell r="BE24">
            <v>0</v>
          </cell>
          <cell r="BF24" t="str">
            <v>S</v>
          </cell>
          <cell r="BG24">
            <v>0</v>
          </cell>
          <cell r="BH24">
            <v>5.5</v>
          </cell>
          <cell r="BI24" t="str">
            <v>P</v>
          </cell>
          <cell r="BJ24">
            <v>0</v>
          </cell>
          <cell r="BK24">
            <v>4</v>
          </cell>
          <cell r="BL24" t="str">
            <v>P</v>
          </cell>
          <cell r="BM24">
            <v>0</v>
          </cell>
          <cell r="BN24">
            <v>0</v>
          </cell>
          <cell r="BO24" t="str">
            <v>P</v>
          </cell>
          <cell r="BP24">
            <v>0</v>
          </cell>
          <cell r="BQ24">
            <v>4.5</v>
          </cell>
          <cell r="BR24" t="str">
            <v>P</v>
          </cell>
          <cell r="BS24">
            <v>0</v>
          </cell>
          <cell r="BT24">
            <v>4.5</v>
          </cell>
          <cell r="BU24" t="str">
            <v>P</v>
          </cell>
          <cell r="BV24">
            <v>0</v>
          </cell>
          <cell r="BW24">
            <v>4</v>
          </cell>
          <cell r="BX24" t="str">
            <v>P</v>
          </cell>
          <cell r="BY24">
            <v>0</v>
          </cell>
          <cell r="BZ24">
            <v>4</v>
          </cell>
          <cell r="CA24" t="str">
            <v>S</v>
          </cell>
          <cell r="CB24">
            <v>0</v>
          </cell>
          <cell r="CC24">
            <v>6.5</v>
          </cell>
          <cell r="CD24" t="str">
            <v>P</v>
          </cell>
          <cell r="CE24">
            <v>0</v>
          </cell>
          <cell r="CF24">
            <v>4.5</v>
          </cell>
          <cell r="CG24" t="str">
            <v>P</v>
          </cell>
          <cell r="CH24">
            <v>0</v>
          </cell>
          <cell r="CI24">
            <v>4.5</v>
          </cell>
          <cell r="CJ24" t="str">
            <v>P</v>
          </cell>
          <cell r="CK24">
            <v>0</v>
          </cell>
          <cell r="CL24">
            <v>4</v>
          </cell>
          <cell r="CM24" t="str">
            <v>P</v>
          </cell>
          <cell r="CN24">
            <v>0</v>
          </cell>
          <cell r="CO24">
            <v>4</v>
          </cell>
          <cell r="CP24" t="str">
            <v>P</v>
          </cell>
          <cell r="CQ24">
            <v>0</v>
          </cell>
          <cell r="CR24">
            <v>4.5</v>
          </cell>
          <cell r="CS24" t="str">
            <v>P</v>
          </cell>
          <cell r="CT24">
            <v>0</v>
          </cell>
          <cell r="CU24">
            <v>4.5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24</v>
          </cell>
          <cell r="DG24">
            <v>0</v>
          </cell>
          <cell r="DH24">
            <v>66</v>
          </cell>
          <cell r="DI24">
            <v>0</v>
          </cell>
          <cell r="DJ24">
            <v>0</v>
          </cell>
          <cell r="DK24">
            <v>0</v>
          </cell>
          <cell r="DL24">
            <v>4</v>
          </cell>
          <cell r="DM24">
            <v>24</v>
          </cell>
          <cell r="DN24">
            <v>28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</row>
        <row r="25">
          <cell r="D25" t="str">
            <v>SHE350</v>
          </cell>
          <cell r="E25">
            <v>0</v>
          </cell>
          <cell r="F25" t="str">
            <v>Direct</v>
          </cell>
          <cell r="G25" t="str">
            <v>Sahilbhai Dilipbhai Waghela</v>
          </cell>
          <cell r="H25" t="str">
            <v>Direct Labour Wage</v>
          </cell>
          <cell r="I25">
            <v>0</v>
          </cell>
          <cell r="J25" t="str">
            <v>UNIT-2</v>
          </cell>
          <cell r="K25" t="str">
            <v>Bushing</v>
          </cell>
          <cell r="L25" t="str">
            <v>Casting</v>
          </cell>
          <cell r="M25" t="str">
            <v>Helper</v>
          </cell>
          <cell r="N25">
            <v>45931</v>
          </cell>
          <cell r="O25">
            <v>0.42739726027397262</v>
          </cell>
          <cell r="P25" t="str">
            <v>S</v>
          </cell>
          <cell r="Q25">
            <v>0</v>
          </cell>
          <cell r="R25">
            <v>0</v>
          </cell>
          <cell r="S25" t="str">
            <v>P</v>
          </cell>
          <cell r="T25">
            <v>0</v>
          </cell>
          <cell r="U25">
            <v>0</v>
          </cell>
          <cell r="V25" t="str">
            <v>P</v>
          </cell>
          <cell r="W25">
            <v>0</v>
          </cell>
          <cell r="X25">
            <v>0</v>
          </cell>
          <cell r="Y25" t="str">
            <v>P</v>
          </cell>
          <cell r="Z25">
            <v>0</v>
          </cell>
          <cell r="AA25">
            <v>0</v>
          </cell>
          <cell r="AB25" t="str">
            <v>P</v>
          </cell>
          <cell r="AC25">
            <v>0</v>
          </cell>
          <cell r="AD25">
            <v>0</v>
          </cell>
          <cell r="AE25" t="str">
            <v>P</v>
          </cell>
          <cell r="AF25">
            <v>0</v>
          </cell>
          <cell r="AG25">
            <v>0</v>
          </cell>
          <cell r="AH25" t="str">
            <v>P</v>
          </cell>
          <cell r="AI25">
            <v>0</v>
          </cell>
          <cell r="AJ25">
            <v>0</v>
          </cell>
          <cell r="AK25" t="str">
            <v>S</v>
          </cell>
          <cell r="AL25">
            <v>0</v>
          </cell>
          <cell r="AM25">
            <v>0</v>
          </cell>
          <cell r="AN25" t="str">
            <v>P</v>
          </cell>
          <cell r="AO25">
            <v>0</v>
          </cell>
          <cell r="AP25">
            <v>0</v>
          </cell>
          <cell r="AQ25" t="str">
            <v>P</v>
          </cell>
          <cell r="AR25">
            <v>0</v>
          </cell>
          <cell r="AS25">
            <v>0</v>
          </cell>
          <cell r="AT25" t="str">
            <v>P</v>
          </cell>
          <cell r="AU25">
            <v>0</v>
          </cell>
          <cell r="AV25">
            <v>0</v>
          </cell>
          <cell r="AW25" t="str">
            <v>P</v>
          </cell>
          <cell r="AX25">
            <v>0</v>
          </cell>
          <cell r="AY25">
            <v>0</v>
          </cell>
          <cell r="AZ25" t="str">
            <v>P</v>
          </cell>
          <cell r="BA25">
            <v>0</v>
          </cell>
          <cell r="BB25">
            <v>0</v>
          </cell>
          <cell r="BC25" t="str">
            <v>P</v>
          </cell>
          <cell r="BD25">
            <v>0</v>
          </cell>
          <cell r="BE25">
            <v>0</v>
          </cell>
          <cell r="BF25" t="str">
            <v>S</v>
          </cell>
          <cell r="BG25">
            <v>0</v>
          </cell>
          <cell r="BH25">
            <v>0</v>
          </cell>
          <cell r="BI25" t="str">
            <v>P</v>
          </cell>
          <cell r="BJ25">
            <v>0</v>
          </cell>
          <cell r="BK25">
            <v>0</v>
          </cell>
          <cell r="BL25" t="str">
            <v>P</v>
          </cell>
          <cell r="BM25">
            <v>0</v>
          </cell>
          <cell r="BN25">
            <v>0</v>
          </cell>
          <cell r="BO25" t="str">
            <v>P</v>
          </cell>
          <cell r="BP25">
            <v>0</v>
          </cell>
          <cell r="BQ25">
            <v>0</v>
          </cell>
          <cell r="BR25" t="str">
            <v>P</v>
          </cell>
          <cell r="BS25">
            <v>0</v>
          </cell>
          <cell r="BT25">
            <v>0</v>
          </cell>
          <cell r="BU25" t="str">
            <v>P</v>
          </cell>
          <cell r="BV25">
            <v>0</v>
          </cell>
          <cell r="BW25">
            <v>0</v>
          </cell>
          <cell r="BX25" t="str">
            <v>P</v>
          </cell>
          <cell r="BY25">
            <v>0</v>
          </cell>
          <cell r="BZ25">
            <v>0</v>
          </cell>
          <cell r="CA25" t="str">
            <v>S</v>
          </cell>
          <cell r="CB25">
            <v>0</v>
          </cell>
          <cell r="CC25">
            <v>0</v>
          </cell>
          <cell r="CD25" t="str">
            <v>P</v>
          </cell>
          <cell r="CE25">
            <v>0</v>
          </cell>
          <cell r="CF25">
            <v>7.5</v>
          </cell>
          <cell r="CG25" t="str">
            <v>P</v>
          </cell>
          <cell r="CH25">
            <v>0</v>
          </cell>
          <cell r="CI25">
            <v>2</v>
          </cell>
          <cell r="CJ25" t="str">
            <v>P</v>
          </cell>
          <cell r="CK25">
            <v>0</v>
          </cell>
          <cell r="CL25">
            <v>0</v>
          </cell>
          <cell r="CM25" t="str">
            <v>P</v>
          </cell>
          <cell r="CN25">
            <v>0</v>
          </cell>
          <cell r="CO25">
            <v>0</v>
          </cell>
          <cell r="CP25" t="str">
            <v>HD</v>
          </cell>
          <cell r="CQ25">
            <v>0</v>
          </cell>
          <cell r="CR25">
            <v>0</v>
          </cell>
          <cell r="CS25" t="str">
            <v>P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0.5</v>
          </cell>
          <cell r="DF25">
            <v>23.5</v>
          </cell>
          <cell r="DG25">
            <v>0</v>
          </cell>
          <cell r="DH25">
            <v>9.5</v>
          </cell>
          <cell r="DI25">
            <v>0.5</v>
          </cell>
          <cell r="DJ25">
            <v>0</v>
          </cell>
          <cell r="DK25">
            <v>0</v>
          </cell>
          <cell r="DL25">
            <v>4</v>
          </cell>
          <cell r="DM25">
            <v>23.5</v>
          </cell>
          <cell r="DN25">
            <v>28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</row>
        <row r="26">
          <cell r="D26" t="str">
            <v>SHE351</v>
          </cell>
          <cell r="E26">
            <v>0</v>
          </cell>
          <cell r="F26" t="str">
            <v>Direct</v>
          </cell>
          <cell r="G26" t="str">
            <v>Sudarshan Anil</v>
          </cell>
          <cell r="H26" t="str">
            <v>Direct Labour Wage</v>
          </cell>
          <cell r="I26">
            <v>0</v>
          </cell>
          <cell r="J26" t="str">
            <v>UNIT-2</v>
          </cell>
          <cell r="K26" t="str">
            <v>Bushing</v>
          </cell>
          <cell r="L26" t="str">
            <v>Winding</v>
          </cell>
          <cell r="M26" t="str">
            <v>Helper</v>
          </cell>
          <cell r="N26">
            <v>45936</v>
          </cell>
          <cell r="O26">
            <v>0.41369863013698632</v>
          </cell>
          <cell r="P26" t="str">
            <v>S</v>
          </cell>
          <cell r="Q26">
            <v>0</v>
          </cell>
          <cell r="R26">
            <v>5</v>
          </cell>
          <cell r="S26" t="str">
            <v>P</v>
          </cell>
          <cell r="T26">
            <v>0</v>
          </cell>
          <cell r="U26">
            <v>1</v>
          </cell>
          <cell r="V26" t="str">
            <v>P</v>
          </cell>
          <cell r="W26">
            <v>0</v>
          </cell>
          <cell r="X26">
            <v>1.5</v>
          </cell>
          <cell r="Y26" t="str">
            <v>P</v>
          </cell>
          <cell r="Z26">
            <v>0</v>
          </cell>
          <cell r="AA26">
            <v>1</v>
          </cell>
          <cell r="AB26" t="str">
            <v>P</v>
          </cell>
          <cell r="AC26">
            <v>0</v>
          </cell>
          <cell r="AD26">
            <v>1.5</v>
          </cell>
          <cell r="AE26" t="str">
            <v>P</v>
          </cell>
          <cell r="AF26">
            <v>0</v>
          </cell>
          <cell r="AG26">
            <v>0</v>
          </cell>
          <cell r="AH26" t="str">
            <v>P</v>
          </cell>
          <cell r="AI26">
            <v>0</v>
          </cell>
          <cell r="AJ26">
            <v>1.5</v>
          </cell>
          <cell r="AK26" t="str">
            <v>S</v>
          </cell>
          <cell r="AL26">
            <v>0</v>
          </cell>
          <cell r="AM26">
            <v>0</v>
          </cell>
          <cell r="AN26" t="str">
            <v>P</v>
          </cell>
          <cell r="AO26">
            <v>0</v>
          </cell>
          <cell r="AP26">
            <v>0</v>
          </cell>
          <cell r="AQ26" t="str">
            <v>A</v>
          </cell>
          <cell r="AR26">
            <v>0</v>
          </cell>
          <cell r="AS26">
            <v>0</v>
          </cell>
          <cell r="AT26" t="str">
            <v>P</v>
          </cell>
          <cell r="AU26">
            <v>0</v>
          </cell>
          <cell r="AV26">
            <v>1.5</v>
          </cell>
          <cell r="AW26" t="str">
            <v>P</v>
          </cell>
          <cell r="AX26">
            <v>0</v>
          </cell>
          <cell r="AY26">
            <v>1.5</v>
          </cell>
          <cell r="AZ26" t="str">
            <v>P</v>
          </cell>
          <cell r="BA26">
            <v>0</v>
          </cell>
          <cell r="BB26">
            <v>2</v>
          </cell>
          <cell r="BC26" t="str">
            <v>P</v>
          </cell>
          <cell r="BD26">
            <v>0</v>
          </cell>
          <cell r="BE26">
            <v>1</v>
          </cell>
          <cell r="BF26" t="str">
            <v>S</v>
          </cell>
          <cell r="BG26">
            <v>0</v>
          </cell>
          <cell r="BH26">
            <v>0</v>
          </cell>
          <cell r="BI26" t="str">
            <v>P</v>
          </cell>
          <cell r="BJ26">
            <v>0</v>
          </cell>
          <cell r="BK26">
            <v>2</v>
          </cell>
          <cell r="BL26" t="str">
            <v>P</v>
          </cell>
          <cell r="BM26">
            <v>0</v>
          </cell>
          <cell r="BN26">
            <v>2.5</v>
          </cell>
          <cell r="BO26" t="str">
            <v>P</v>
          </cell>
          <cell r="BP26">
            <v>0</v>
          </cell>
          <cell r="BQ26">
            <v>1.5</v>
          </cell>
          <cell r="BR26" t="str">
            <v>P</v>
          </cell>
          <cell r="BS26">
            <v>0</v>
          </cell>
          <cell r="BT26">
            <v>2</v>
          </cell>
          <cell r="BU26" t="str">
            <v>P</v>
          </cell>
          <cell r="BV26">
            <v>0</v>
          </cell>
          <cell r="BW26">
            <v>2</v>
          </cell>
          <cell r="BX26" t="str">
            <v>P</v>
          </cell>
          <cell r="BY26">
            <v>0</v>
          </cell>
          <cell r="BZ26">
            <v>2</v>
          </cell>
          <cell r="CA26" t="str">
            <v>S</v>
          </cell>
          <cell r="CB26">
            <v>0</v>
          </cell>
          <cell r="CC26">
            <v>5.5</v>
          </cell>
          <cell r="CD26" t="str">
            <v>P</v>
          </cell>
          <cell r="CE26">
            <v>0</v>
          </cell>
          <cell r="CF26">
            <v>2</v>
          </cell>
          <cell r="CG26" t="str">
            <v>P</v>
          </cell>
          <cell r="CH26">
            <v>0</v>
          </cell>
          <cell r="CI26">
            <v>2</v>
          </cell>
          <cell r="CJ26" t="str">
            <v>P</v>
          </cell>
          <cell r="CK26">
            <v>0</v>
          </cell>
          <cell r="CL26">
            <v>2</v>
          </cell>
          <cell r="CM26" t="str">
            <v>P</v>
          </cell>
          <cell r="CN26">
            <v>0</v>
          </cell>
          <cell r="CO26">
            <v>2</v>
          </cell>
          <cell r="CP26" t="str">
            <v>P</v>
          </cell>
          <cell r="CQ26">
            <v>0</v>
          </cell>
          <cell r="CR26">
            <v>2.5</v>
          </cell>
          <cell r="CS26" t="str">
            <v>P</v>
          </cell>
          <cell r="CT26">
            <v>0</v>
          </cell>
          <cell r="CU26">
            <v>2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23</v>
          </cell>
          <cell r="DG26">
            <v>0</v>
          </cell>
          <cell r="DH26">
            <v>47.5</v>
          </cell>
          <cell r="DI26">
            <v>1</v>
          </cell>
          <cell r="DJ26">
            <v>0</v>
          </cell>
          <cell r="DK26">
            <v>0</v>
          </cell>
          <cell r="DL26">
            <v>4</v>
          </cell>
          <cell r="DM26">
            <v>23</v>
          </cell>
          <cell r="DN26">
            <v>28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</row>
        <row r="27">
          <cell r="D27" t="str">
            <v>SHE352</v>
          </cell>
          <cell r="E27">
            <v>0</v>
          </cell>
          <cell r="F27" t="str">
            <v>Direct</v>
          </cell>
          <cell r="G27" t="str">
            <v>Rinku Paswan Angan</v>
          </cell>
          <cell r="H27" t="str">
            <v>Direct Labour Wage</v>
          </cell>
          <cell r="I27">
            <v>0</v>
          </cell>
          <cell r="J27" t="str">
            <v>UNIT-2</v>
          </cell>
          <cell r="K27" t="str">
            <v>Bushing</v>
          </cell>
          <cell r="L27" t="str">
            <v>Assembly - 01</v>
          </cell>
          <cell r="M27" t="str">
            <v>Helper</v>
          </cell>
          <cell r="N27">
            <v>45936</v>
          </cell>
          <cell r="O27">
            <v>0.41369863013698632</v>
          </cell>
          <cell r="P27" t="str">
            <v>S</v>
          </cell>
          <cell r="Q27">
            <v>0</v>
          </cell>
          <cell r="R27">
            <v>5</v>
          </cell>
          <cell r="S27" t="str">
            <v>T</v>
          </cell>
          <cell r="T27">
            <v>0</v>
          </cell>
          <cell r="U27">
            <v>0</v>
          </cell>
          <cell r="V27" t="str">
            <v>T</v>
          </cell>
          <cell r="W27">
            <v>0</v>
          </cell>
          <cell r="X27">
            <v>0</v>
          </cell>
          <cell r="Y27" t="str">
            <v>T</v>
          </cell>
          <cell r="Z27">
            <v>0</v>
          </cell>
          <cell r="AA27">
            <v>0</v>
          </cell>
          <cell r="AB27" t="str">
            <v>P</v>
          </cell>
          <cell r="AC27">
            <v>0</v>
          </cell>
          <cell r="AD27">
            <v>1.5</v>
          </cell>
          <cell r="AE27" t="str">
            <v>T</v>
          </cell>
          <cell r="AF27">
            <v>0</v>
          </cell>
          <cell r="AG27">
            <v>0</v>
          </cell>
          <cell r="AH27" t="str">
            <v>T</v>
          </cell>
          <cell r="AI27">
            <v>0</v>
          </cell>
          <cell r="AJ27">
            <v>0</v>
          </cell>
          <cell r="AK27" t="str">
            <v>S</v>
          </cell>
          <cell r="AL27">
            <v>0</v>
          </cell>
          <cell r="AM27">
            <v>0</v>
          </cell>
          <cell r="AN27" t="str">
            <v>T</v>
          </cell>
          <cell r="AO27">
            <v>0</v>
          </cell>
          <cell r="AP27">
            <v>0</v>
          </cell>
          <cell r="AQ27" t="str">
            <v>P</v>
          </cell>
          <cell r="AR27">
            <v>0</v>
          </cell>
          <cell r="AS27">
            <v>1.5</v>
          </cell>
          <cell r="AT27" t="str">
            <v>T</v>
          </cell>
          <cell r="AU27">
            <v>0</v>
          </cell>
          <cell r="AV27">
            <v>0</v>
          </cell>
          <cell r="AW27" t="str">
            <v>T</v>
          </cell>
          <cell r="AX27">
            <v>0</v>
          </cell>
          <cell r="AY27">
            <v>0</v>
          </cell>
          <cell r="AZ27" t="str">
            <v>T</v>
          </cell>
          <cell r="BA27">
            <v>0</v>
          </cell>
          <cell r="BB27">
            <v>0</v>
          </cell>
          <cell r="BC27" t="str">
            <v>T</v>
          </cell>
          <cell r="BD27">
            <v>0</v>
          </cell>
          <cell r="BE27">
            <v>0</v>
          </cell>
          <cell r="BF27" t="str">
            <v>T</v>
          </cell>
          <cell r="BG27">
            <v>0</v>
          </cell>
          <cell r="BH27">
            <v>0</v>
          </cell>
          <cell r="BI27" t="str">
            <v>T</v>
          </cell>
          <cell r="BJ27">
            <v>0</v>
          </cell>
          <cell r="BK27">
            <v>0</v>
          </cell>
          <cell r="BL27" t="str">
            <v>T</v>
          </cell>
          <cell r="BM27">
            <v>0</v>
          </cell>
          <cell r="BN27">
            <v>0</v>
          </cell>
          <cell r="BO27" t="str">
            <v>T</v>
          </cell>
          <cell r="BP27">
            <v>0</v>
          </cell>
          <cell r="BQ27">
            <v>0</v>
          </cell>
          <cell r="BR27" t="str">
            <v>T</v>
          </cell>
          <cell r="BS27">
            <v>0</v>
          </cell>
          <cell r="BT27">
            <v>0</v>
          </cell>
          <cell r="BU27" t="str">
            <v>T</v>
          </cell>
          <cell r="BV27">
            <v>0</v>
          </cell>
          <cell r="BW27">
            <v>0</v>
          </cell>
          <cell r="BX27" t="str">
            <v>T</v>
          </cell>
          <cell r="BY27">
            <v>0</v>
          </cell>
          <cell r="BZ27">
            <v>0</v>
          </cell>
          <cell r="CA27" t="str">
            <v>T</v>
          </cell>
          <cell r="CB27">
            <v>0</v>
          </cell>
          <cell r="CC27">
            <v>0</v>
          </cell>
          <cell r="CD27" t="str">
            <v>T</v>
          </cell>
          <cell r="CE27">
            <v>0</v>
          </cell>
          <cell r="CF27">
            <v>0</v>
          </cell>
          <cell r="CG27" t="str">
            <v>T</v>
          </cell>
          <cell r="CH27">
            <v>0</v>
          </cell>
          <cell r="CI27">
            <v>0</v>
          </cell>
          <cell r="CJ27" t="str">
            <v>T</v>
          </cell>
          <cell r="CK27">
            <v>0</v>
          </cell>
          <cell r="CL27">
            <v>0</v>
          </cell>
          <cell r="CM27" t="str">
            <v>T</v>
          </cell>
          <cell r="CN27">
            <v>0</v>
          </cell>
          <cell r="CO27">
            <v>0</v>
          </cell>
          <cell r="CP27" t="str">
            <v>T</v>
          </cell>
          <cell r="CQ27">
            <v>0</v>
          </cell>
          <cell r="CR27">
            <v>0</v>
          </cell>
          <cell r="CS27" t="str">
            <v>T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2</v>
          </cell>
          <cell r="DG27">
            <v>0</v>
          </cell>
          <cell r="DH27">
            <v>8</v>
          </cell>
          <cell r="DI27">
            <v>0</v>
          </cell>
          <cell r="DJ27">
            <v>0</v>
          </cell>
          <cell r="DK27">
            <v>0</v>
          </cell>
          <cell r="DL27">
            <v>2</v>
          </cell>
          <cell r="DM27">
            <v>2</v>
          </cell>
          <cell r="DN27">
            <v>28</v>
          </cell>
          <cell r="DO27">
            <v>24</v>
          </cell>
          <cell r="DP27">
            <v>0</v>
          </cell>
          <cell r="DQ27">
            <v>0</v>
          </cell>
          <cell r="DR27">
            <v>1000</v>
          </cell>
        </row>
        <row r="28">
          <cell r="D28" t="str">
            <v>SHE353</v>
          </cell>
          <cell r="E28">
            <v>0</v>
          </cell>
          <cell r="F28" t="str">
            <v>Direct</v>
          </cell>
          <cell r="G28" t="str">
            <v>Jadav Kamleshbhai Hamirsinh</v>
          </cell>
          <cell r="H28" t="str">
            <v>Direct Labour Wage</v>
          </cell>
          <cell r="I28">
            <v>0</v>
          </cell>
          <cell r="J28" t="str">
            <v>UNIT-2</v>
          </cell>
          <cell r="K28" t="str">
            <v>GIS</v>
          </cell>
          <cell r="L28" t="str">
            <v>Core Insulation</v>
          </cell>
          <cell r="M28" t="str">
            <v>Helper</v>
          </cell>
          <cell r="N28">
            <v>45940</v>
          </cell>
          <cell r="O28">
            <v>0.40273972602739727</v>
          </cell>
          <cell r="P28" t="str">
            <v>S</v>
          </cell>
          <cell r="Q28">
            <v>0</v>
          </cell>
          <cell r="R28">
            <v>0</v>
          </cell>
          <cell r="S28" t="str">
            <v>P</v>
          </cell>
          <cell r="T28">
            <v>0</v>
          </cell>
          <cell r="U28">
            <v>0</v>
          </cell>
          <cell r="V28" t="str">
            <v>P</v>
          </cell>
          <cell r="W28">
            <v>0</v>
          </cell>
          <cell r="X28">
            <v>0</v>
          </cell>
          <cell r="Y28" t="str">
            <v>P</v>
          </cell>
          <cell r="Z28">
            <v>0</v>
          </cell>
          <cell r="AA28">
            <v>0</v>
          </cell>
          <cell r="AB28" t="str">
            <v>A</v>
          </cell>
          <cell r="AC28">
            <v>0</v>
          </cell>
          <cell r="AD28">
            <v>0</v>
          </cell>
          <cell r="AE28" t="str">
            <v>P</v>
          </cell>
          <cell r="AF28">
            <v>0</v>
          </cell>
          <cell r="AG28">
            <v>0</v>
          </cell>
          <cell r="AH28" t="str">
            <v>P</v>
          </cell>
          <cell r="AI28">
            <v>0</v>
          </cell>
          <cell r="AJ28">
            <v>0</v>
          </cell>
          <cell r="AK28" t="str">
            <v>S</v>
          </cell>
          <cell r="AL28">
            <v>0</v>
          </cell>
          <cell r="AM28">
            <v>0</v>
          </cell>
          <cell r="AN28" t="str">
            <v>P</v>
          </cell>
          <cell r="AO28">
            <v>0</v>
          </cell>
          <cell r="AP28">
            <v>0</v>
          </cell>
          <cell r="AQ28" t="str">
            <v>P</v>
          </cell>
          <cell r="AR28">
            <v>0</v>
          </cell>
          <cell r="AS28">
            <v>7.5</v>
          </cell>
          <cell r="AT28" t="str">
            <v>P</v>
          </cell>
          <cell r="AU28">
            <v>0</v>
          </cell>
          <cell r="AV28">
            <v>0</v>
          </cell>
          <cell r="AW28" t="str">
            <v>A</v>
          </cell>
          <cell r="AX28">
            <v>0</v>
          </cell>
          <cell r="AY28">
            <v>0</v>
          </cell>
          <cell r="AZ28" t="str">
            <v>A</v>
          </cell>
          <cell r="BA28">
            <v>0</v>
          </cell>
          <cell r="BB28">
            <v>0</v>
          </cell>
          <cell r="BC28" t="str">
            <v>P</v>
          </cell>
          <cell r="BD28">
            <v>0</v>
          </cell>
          <cell r="BE28">
            <v>0</v>
          </cell>
          <cell r="BF28" t="str">
            <v>S</v>
          </cell>
          <cell r="BG28">
            <v>0</v>
          </cell>
          <cell r="BH28">
            <v>0</v>
          </cell>
          <cell r="BI28" t="str">
            <v>P</v>
          </cell>
          <cell r="BJ28">
            <v>0</v>
          </cell>
          <cell r="BK28">
            <v>0</v>
          </cell>
          <cell r="BL28" t="str">
            <v>P</v>
          </cell>
          <cell r="BM28">
            <v>0</v>
          </cell>
          <cell r="BN28">
            <v>0</v>
          </cell>
          <cell r="BO28" t="str">
            <v>P</v>
          </cell>
          <cell r="BP28">
            <v>0</v>
          </cell>
          <cell r="BQ28">
            <v>0</v>
          </cell>
          <cell r="BR28" t="str">
            <v>P</v>
          </cell>
          <cell r="BS28">
            <v>0</v>
          </cell>
          <cell r="BT28">
            <v>0</v>
          </cell>
          <cell r="BU28" t="str">
            <v>P</v>
          </cell>
          <cell r="BV28">
            <v>0</v>
          </cell>
          <cell r="BW28">
            <v>0</v>
          </cell>
          <cell r="BX28" t="str">
            <v>P</v>
          </cell>
          <cell r="BY28">
            <v>0</v>
          </cell>
          <cell r="BZ28">
            <v>0</v>
          </cell>
          <cell r="CA28" t="str">
            <v>S</v>
          </cell>
          <cell r="CB28">
            <v>0</v>
          </cell>
          <cell r="CC28">
            <v>0</v>
          </cell>
          <cell r="CD28" t="str">
            <v>P</v>
          </cell>
          <cell r="CE28">
            <v>0</v>
          </cell>
          <cell r="CF28">
            <v>0</v>
          </cell>
          <cell r="CG28" t="str">
            <v>P</v>
          </cell>
          <cell r="CH28">
            <v>0</v>
          </cell>
          <cell r="CI28">
            <v>3</v>
          </cell>
          <cell r="CJ28" t="str">
            <v>P</v>
          </cell>
          <cell r="CK28">
            <v>0</v>
          </cell>
          <cell r="CL28">
            <v>0</v>
          </cell>
          <cell r="CM28" t="str">
            <v>P</v>
          </cell>
          <cell r="CN28">
            <v>0</v>
          </cell>
          <cell r="CO28">
            <v>0</v>
          </cell>
          <cell r="CP28" t="str">
            <v>P</v>
          </cell>
          <cell r="CQ28">
            <v>0</v>
          </cell>
          <cell r="CR28">
            <v>0</v>
          </cell>
          <cell r="CS28" t="str">
            <v>P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21</v>
          </cell>
          <cell r="DG28">
            <v>0</v>
          </cell>
          <cell r="DH28">
            <v>10.5</v>
          </cell>
          <cell r="DI28">
            <v>3</v>
          </cell>
          <cell r="DJ28">
            <v>0</v>
          </cell>
          <cell r="DK28">
            <v>0</v>
          </cell>
          <cell r="DL28">
            <v>4</v>
          </cell>
          <cell r="DM28">
            <v>21</v>
          </cell>
          <cell r="DN28">
            <v>28</v>
          </cell>
          <cell r="DO28">
            <v>0</v>
          </cell>
          <cell r="DP28">
            <v>0</v>
          </cell>
          <cell r="DQ28">
            <v>0</v>
          </cell>
          <cell r="DR28">
            <v>200</v>
          </cell>
        </row>
        <row r="29">
          <cell r="D29" t="str">
            <v>SHE354</v>
          </cell>
          <cell r="E29">
            <v>0</v>
          </cell>
          <cell r="F29" t="str">
            <v>Direct</v>
          </cell>
          <cell r="G29" t="str">
            <v>Nikhil Kumar</v>
          </cell>
          <cell r="H29" t="str">
            <v>Direct Labour Wage</v>
          </cell>
          <cell r="I29">
            <v>0</v>
          </cell>
          <cell r="J29" t="str">
            <v>UNIT-2</v>
          </cell>
          <cell r="K29" t="str">
            <v>MV</v>
          </cell>
          <cell r="L29" t="str">
            <v>HV Winding</v>
          </cell>
          <cell r="M29" t="str">
            <v>Helper</v>
          </cell>
          <cell r="N29">
            <v>45941</v>
          </cell>
          <cell r="O29">
            <v>0.4</v>
          </cell>
          <cell r="P29" t="str">
            <v>S</v>
          </cell>
          <cell r="Q29">
            <v>0</v>
          </cell>
          <cell r="R29">
            <v>5</v>
          </cell>
          <cell r="S29" t="str">
            <v>P</v>
          </cell>
          <cell r="T29">
            <v>0</v>
          </cell>
          <cell r="U29">
            <v>2</v>
          </cell>
          <cell r="V29" t="str">
            <v>T</v>
          </cell>
          <cell r="W29">
            <v>0</v>
          </cell>
          <cell r="X29">
            <v>0</v>
          </cell>
          <cell r="Y29" t="str">
            <v>P</v>
          </cell>
          <cell r="Z29">
            <v>0</v>
          </cell>
          <cell r="AA29">
            <v>0</v>
          </cell>
          <cell r="AB29" t="str">
            <v>P</v>
          </cell>
          <cell r="AC29">
            <v>0</v>
          </cell>
          <cell r="AD29">
            <v>0</v>
          </cell>
          <cell r="AE29" t="str">
            <v>P</v>
          </cell>
          <cell r="AF29">
            <v>0</v>
          </cell>
          <cell r="AG29">
            <v>2</v>
          </cell>
          <cell r="AH29" t="str">
            <v>P</v>
          </cell>
          <cell r="AI29">
            <v>0</v>
          </cell>
          <cell r="AJ29">
            <v>0</v>
          </cell>
          <cell r="AK29" t="str">
            <v>T</v>
          </cell>
          <cell r="AL29">
            <v>0</v>
          </cell>
          <cell r="AM29">
            <v>0</v>
          </cell>
          <cell r="AN29" t="str">
            <v>T</v>
          </cell>
          <cell r="AO29">
            <v>0</v>
          </cell>
          <cell r="AP29">
            <v>0</v>
          </cell>
          <cell r="AQ29" t="str">
            <v>T</v>
          </cell>
          <cell r="AR29">
            <v>0</v>
          </cell>
          <cell r="AS29">
            <v>0</v>
          </cell>
          <cell r="AT29" t="str">
            <v>T</v>
          </cell>
          <cell r="AU29">
            <v>0</v>
          </cell>
          <cell r="AV29">
            <v>0</v>
          </cell>
          <cell r="AW29" t="str">
            <v>T</v>
          </cell>
          <cell r="AX29">
            <v>0</v>
          </cell>
          <cell r="AY29">
            <v>0</v>
          </cell>
          <cell r="AZ29" t="str">
            <v>T</v>
          </cell>
          <cell r="BA29">
            <v>0</v>
          </cell>
          <cell r="BB29">
            <v>0</v>
          </cell>
          <cell r="BC29" t="str">
            <v>T</v>
          </cell>
          <cell r="BD29">
            <v>0</v>
          </cell>
          <cell r="BE29">
            <v>0</v>
          </cell>
          <cell r="BF29" t="str">
            <v>S</v>
          </cell>
          <cell r="BG29">
            <v>0</v>
          </cell>
          <cell r="BH29">
            <v>0</v>
          </cell>
          <cell r="BI29" t="str">
            <v>T</v>
          </cell>
          <cell r="BJ29">
            <v>0</v>
          </cell>
          <cell r="BK29">
            <v>0</v>
          </cell>
          <cell r="BL29" t="str">
            <v>T</v>
          </cell>
          <cell r="BM29">
            <v>0</v>
          </cell>
          <cell r="BN29">
            <v>0</v>
          </cell>
          <cell r="BO29" t="str">
            <v>T</v>
          </cell>
          <cell r="BP29">
            <v>0</v>
          </cell>
          <cell r="BQ29">
            <v>0</v>
          </cell>
          <cell r="BR29" t="str">
            <v>P</v>
          </cell>
          <cell r="BS29">
            <v>0</v>
          </cell>
          <cell r="BT29">
            <v>2</v>
          </cell>
          <cell r="BU29" t="str">
            <v>T</v>
          </cell>
          <cell r="BV29">
            <v>0</v>
          </cell>
          <cell r="BW29">
            <v>0</v>
          </cell>
          <cell r="BX29" t="str">
            <v>T</v>
          </cell>
          <cell r="BY29">
            <v>0</v>
          </cell>
          <cell r="BZ29">
            <v>0</v>
          </cell>
          <cell r="CA29" t="str">
            <v>S</v>
          </cell>
          <cell r="CB29">
            <v>0</v>
          </cell>
          <cell r="CC29">
            <v>5</v>
          </cell>
          <cell r="CD29" t="str">
            <v>T</v>
          </cell>
          <cell r="CE29">
            <v>0</v>
          </cell>
          <cell r="CF29">
            <v>0</v>
          </cell>
          <cell r="CG29" t="str">
            <v>T</v>
          </cell>
          <cell r="CH29">
            <v>0</v>
          </cell>
          <cell r="CI29">
            <v>0</v>
          </cell>
          <cell r="CJ29" t="str">
            <v>T</v>
          </cell>
          <cell r="CK29">
            <v>0</v>
          </cell>
          <cell r="CL29">
            <v>0</v>
          </cell>
          <cell r="CM29" t="str">
            <v>T</v>
          </cell>
          <cell r="CN29">
            <v>0</v>
          </cell>
          <cell r="CO29">
            <v>0</v>
          </cell>
          <cell r="CP29" t="str">
            <v>P</v>
          </cell>
          <cell r="CQ29">
            <v>0</v>
          </cell>
          <cell r="CR29">
            <v>2.5</v>
          </cell>
          <cell r="CS29" t="str">
            <v>P</v>
          </cell>
          <cell r="CT29">
            <v>0</v>
          </cell>
          <cell r="CU29">
            <v>3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8</v>
          </cell>
          <cell r="DG29">
            <v>0</v>
          </cell>
          <cell r="DH29">
            <v>21.5</v>
          </cell>
          <cell r="DI29">
            <v>0</v>
          </cell>
          <cell r="DJ29">
            <v>0</v>
          </cell>
          <cell r="DK29">
            <v>0</v>
          </cell>
          <cell r="DL29">
            <v>3</v>
          </cell>
          <cell r="DM29">
            <v>8</v>
          </cell>
          <cell r="DN29">
            <v>28</v>
          </cell>
          <cell r="DO29">
            <v>17</v>
          </cell>
          <cell r="DP29">
            <v>0</v>
          </cell>
          <cell r="DQ29">
            <v>0</v>
          </cell>
          <cell r="DR29">
            <v>0</v>
          </cell>
        </row>
        <row r="30">
          <cell r="D30" t="str">
            <v>SHE360</v>
          </cell>
          <cell r="E30">
            <v>0</v>
          </cell>
          <cell r="F30" t="str">
            <v>Direct</v>
          </cell>
          <cell r="G30" t="str">
            <v>Deepak Ramnaresh</v>
          </cell>
          <cell r="H30" t="str">
            <v>Direct Labour Wage</v>
          </cell>
          <cell r="I30">
            <v>0</v>
          </cell>
          <cell r="J30" t="str">
            <v>UNIT-2</v>
          </cell>
          <cell r="K30" t="str">
            <v>MV</v>
          </cell>
          <cell r="L30" t="str">
            <v>Assembly</v>
          </cell>
          <cell r="M30" t="str">
            <v>Helper</v>
          </cell>
          <cell r="N30">
            <v>45962</v>
          </cell>
          <cell r="O30">
            <v>0.34246575342465752</v>
          </cell>
          <cell r="P30" t="str">
            <v>S</v>
          </cell>
          <cell r="Q30">
            <v>0</v>
          </cell>
          <cell r="R30">
            <v>5</v>
          </cell>
          <cell r="S30" t="str">
            <v>P</v>
          </cell>
          <cell r="T30">
            <v>0</v>
          </cell>
          <cell r="U30">
            <v>2</v>
          </cell>
          <cell r="V30" t="str">
            <v>P</v>
          </cell>
          <cell r="W30">
            <v>0</v>
          </cell>
          <cell r="X30">
            <v>2</v>
          </cell>
          <cell r="Y30" t="str">
            <v>P</v>
          </cell>
          <cell r="Z30">
            <v>0</v>
          </cell>
          <cell r="AA30">
            <v>1.5</v>
          </cell>
          <cell r="AB30" t="str">
            <v>P</v>
          </cell>
          <cell r="AC30">
            <v>0</v>
          </cell>
          <cell r="AD30">
            <v>2</v>
          </cell>
          <cell r="AE30" t="str">
            <v>P</v>
          </cell>
          <cell r="AF30">
            <v>0</v>
          </cell>
          <cell r="AG30">
            <v>2</v>
          </cell>
          <cell r="AH30" t="str">
            <v>P</v>
          </cell>
          <cell r="AI30">
            <v>0</v>
          </cell>
          <cell r="AJ30">
            <v>1.5</v>
          </cell>
          <cell r="AK30" t="str">
            <v>S</v>
          </cell>
          <cell r="AL30">
            <v>0</v>
          </cell>
          <cell r="AM30">
            <v>0</v>
          </cell>
          <cell r="AN30" t="str">
            <v>P</v>
          </cell>
          <cell r="AO30">
            <v>0</v>
          </cell>
          <cell r="AP30">
            <v>2</v>
          </cell>
          <cell r="AQ30" t="str">
            <v>P</v>
          </cell>
          <cell r="AR30">
            <v>0</v>
          </cell>
          <cell r="AS30">
            <v>2</v>
          </cell>
          <cell r="AT30" t="str">
            <v>P</v>
          </cell>
          <cell r="AU30">
            <v>0</v>
          </cell>
          <cell r="AV30">
            <v>2</v>
          </cell>
          <cell r="AW30" t="str">
            <v>P</v>
          </cell>
          <cell r="AX30">
            <v>0</v>
          </cell>
          <cell r="AY30">
            <v>1.5</v>
          </cell>
          <cell r="AZ30" t="str">
            <v>P</v>
          </cell>
          <cell r="BA30">
            <v>0</v>
          </cell>
          <cell r="BB30">
            <v>1.5</v>
          </cell>
          <cell r="BC30" t="str">
            <v>P</v>
          </cell>
          <cell r="BD30">
            <v>0</v>
          </cell>
          <cell r="BE30">
            <v>2</v>
          </cell>
          <cell r="BF30" t="str">
            <v>S</v>
          </cell>
          <cell r="BG30">
            <v>0</v>
          </cell>
          <cell r="BH30">
            <v>0</v>
          </cell>
          <cell r="BI30" t="str">
            <v>P</v>
          </cell>
          <cell r="BJ30">
            <v>0</v>
          </cell>
          <cell r="BK30">
            <v>2</v>
          </cell>
          <cell r="BL30" t="str">
            <v>P</v>
          </cell>
          <cell r="BM30">
            <v>0</v>
          </cell>
          <cell r="BN30">
            <v>2</v>
          </cell>
          <cell r="BO30" t="str">
            <v>P</v>
          </cell>
          <cell r="BP30">
            <v>0</v>
          </cell>
          <cell r="BQ30">
            <v>2</v>
          </cell>
          <cell r="BR30" t="str">
            <v>P</v>
          </cell>
          <cell r="BS30">
            <v>0</v>
          </cell>
          <cell r="BT30">
            <v>2</v>
          </cell>
          <cell r="BU30" t="str">
            <v>P</v>
          </cell>
          <cell r="BV30">
            <v>0</v>
          </cell>
          <cell r="BW30">
            <v>2</v>
          </cell>
          <cell r="BX30" t="str">
            <v>P</v>
          </cell>
          <cell r="BY30">
            <v>0</v>
          </cell>
          <cell r="BZ30">
            <v>2</v>
          </cell>
          <cell r="CA30" t="str">
            <v>S</v>
          </cell>
          <cell r="CB30">
            <v>0</v>
          </cell>
          <cell r="CC30">
            <v>0</v>
          </cell>
          <cell r="CD30" t="str">
            <v>P</v>
          </cell>
          <cell r="CE30">
            <v>0</v>
          </cell>
          <cell r="CF30">
            <v>2</v>
          </cell>
          <cell r="CG30" t="str">
            <v>P</v>
          </cell>
          <cell r="CH30">
            <v>0</v>
          </cell>
          <cell r="CI30">
            <v>2.5</v>
          </cell>
          <cell r="CJ30" t="str">
            <v>P</v>
          </cell>
          <cell r="CK30">
            <v>0</v>
          </cell>
          <cell r="CL30">
            <v>2</v>
          </cell>
          <cell r="CM30" t="str">
            <v>P</v>
          </cell>
          <cell r="CN30">
            <v>0</v>
          </cell>
          <cell r="CO30">
            <v>2</v>
          </cell>
          <cell r="CP30" t="str">
            <v>P</v>
          </cell>
          <cell r="CQ30">
            <v>0</v>
          </cell>
          <cell r="CR30">
            <v>2</v>
          </cell>
          <cell r="CS30" t="str">
            <v>P</v>
          </cell>
          <cell r="CT30">
            <v>0</v>
          </cell>
          <cell r="CU30">
            <v>2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24</v>
          </cell>
          <cell r="DG30">
            <v>0</v>
          </cell>
          <cell r="DH30">
            <v>51.5</v>
          </cell>
          <cell r="DI30">
            <v>0</v>
          </cell>
          <cell r="DJ30">
            <v>0</v>
          </cell>
          <cell r="DK30">
            <v>0</v>
          </cell>
          <cell r="DL30">
            <v>4</v>
          </cell>
          <cell r="DM30">
            <v>24</v>
          </cell>
          <cell r="DN30">
            <v>28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</row>
        <row r="31">
          <cell r="D31" t="str">
            <v>SHE362</v>
          </cell>
          <cell r="E31">
            <v>0</v>
          </cell>
          <cell r="F31" t="str">
            <v>Direct</v>
          </cell>
          <cell r="G31" t="str">
            <v>Prakashbhai Jasvantbhai Padhiyar</v>
          </cell>
          <cell r="H31" t="str">
            <v>Direct Labour Wage</v>
          </cell>
          <cell r="I31">
            <v>0</v>
          </cell>
          <cell r="J31" t="str">
            <v>UNIT-2</v>
          </cell>
          <cell r="K31" t="str">
            <v>Bushing</v>
          </cell>
          <cell r="L31" t="str">
            <v>Casting</v>
          </cell>
          <cell r="M31" t="str">
            <v>Helper</v>
          </cell>
          <cell r="N31">
            <v>45964</v>
          </cell>
          <cell r="O31">
            <v>0.33698630136986302</v>
          </cell>
          <cell r="P31" t="str">
            <v>S</v>
          </cell>
          <cell r="Q31">
            <v>0</v>
          </cell>
          <cell r="R31">
            <v>0</v>
          </cell>
          <cell r="S31" t="str">
            <v>P</v>
          </cell>
          <cell r="T31">
            <v>0</v>
          </cell>
          <cell r="U31">
            <v>0</v>
          </cell>
          <cell r="V31" t="str">
            <v>P</v>
          </cell>
          <cell r="W31">
            <v>0</v>
          </cell>
          <cell r="X31">
            <v>0</v>
          </cell>
          <cell r="Y31" t="str">
            <v>P</v>
          </cell>
          <cell r="Z31">
            <v>0</v>
          </cell>
          <cell r="AA31">
            <v>0</v>
          </cell>
          <cell r="AB31" t="str">
            <v>P</v>
          </cell>
          <cell r="AC31">
            <v>0</v>
          </cell>
          <cell r="AD31">
            <v>0</v>
          </cell>
          <cell r="AE31" t="str">
            <v>P</v>
          </cell>
          <cell r="AF31">
            <v>0</v>
          </cell>
          <cell r="AG31">
            <v>0</v>
          </cell>
          <cell r="AH31" t="str">
            <v>P</v>
          </cell>
          <cell r="AI31">
            <v>0</v>
          </cell>
          <cell r="AJ31">
            <v>0</v>
          </cell>
          <cell r="AK31" t="str">
            <v>S</v>
          </cell>
          <cell r="AL31">
            <v>0</v>
          </cell>
          <cell r="AM31">
            <v>0</v>
          </cell>
          <cell r="AN31" t="str">
            <v>P</v>
          </cell>
          <cell r="AO31">
            <v>0</v>
          </cell>
          <cell r="AP31">
            <v>0</v>
          </cell>
          <cell r="AQ31" t="str">
            <v>A</v>
          </cell>
          <cell r="AR31">
            <v>0</v>
          </cell>
          <cell r="AS31">
            <v>0</v>
          </cell>
          <cell r="AT31" t="str">
            <v>P</v>
          </cell>
          <cell r="AU31">
            <v>0</v>
          </cell>
          <cell r="AV31">
            <v>0</v>
          </cell>
          <cell r="AW31" t="str">
            <v>P</v>
          </cell>
          <cell r="AX31">
            <v>0</v>
          </cell>
          <cell r="AY31">
            <v>0</v>
          </cell>
          <cell r="AZ31" t="str">
            <v>P</v>
          </cell>
          <cell r="BA31">
            <v>0</v>
          </cell>
          <cell r="BB31">
            <v>0</v>
          </cell>
          <cell r="BC31" t="str">
            <v>P</v>
          </cell>
          <cell r="BD31">
            <v>0</v>
          </cell>
          <cell r="BE31">
            <v>0</v>
          </cell>
          <cell r="BF31" t="str">
            <v>S</v>
          </cell>
          <cell r="BG31">
            <v>0</v>
          </cell>
          <cell r="BH31">
            <v>0</v>
          </cell>
          <cell r="BI31" t="str">
            <v>P</v>
          </cell>
          <cell r="BJ31">
            <v>0</v>
          </cell>
          <cell r="BK31">
            <v>0</v>
          </cell>
          <cell r="BL31" t="str">
            <v>P</v>
          </cell>
          <cell r="BM31">
            <v>0</v>
          </cell>
          <cell r="BN31">
            <v>0</v>
          </cell>
          <cell r="BO31" t="str">
            <v>P</v>
          </cell>
          <cell r="BP31">
            <v>0</v>
          </cell>
          <cell r="BQ31">
            <v>0</v>
          </cell>
          <cell r="BR31" t="str">
            <v>P</v>
          </cell>
          <cell r="BS31">
            <v>0</v>
          </cell>
          <cell r="BT31">
            <v>0</v>
          </cell>
          <cell r="BU31" t="str">
            <v>P</v>
          </cell>
          <cell r="BV31">
            <v>0</v>
          </cell>
          <cell r="BW31">
            <v>0</v>
          </cell>
          <cell r="BX31" t="str">
            <v>P</v>
          </cell>
          <cell r="BY31">
            <v>0</v>
          </cell>
          <cell r="BZ31">
            <v>0</v>
          </cell>
          <cell r="CA31" t="str">
            <v>S</v>
          </cell>
          <cell r="CB31">
            <v>0</v>
          </cell>
          <cell r="CC31">
            <v>0</v>
          </cell>
          <cell r="CD31" t="str">
            <v>P</v>
          </cell>
          <cell r="CE31">
            <v>0</v>
          </cell>
          <cell r="CF31">
            <v>7.5</v>
          </cell>
          <cell r="CG31" t="str">
            <v>P</v>
          </cell>
          <cell r="CH31">
            <v>0</v>
          </cell>
          <cell r="CI31">
            <v>0</v>
          </cell>
          <cell r="CJ31" t="str">
            <v>P</v>
          </cell>
          <cell r="CK31">
            <v>0</v>
          </cell>
          <cell r="CL31">
            <v>0</v>
          </cell>
          <cell r="CM31" t="str">
            <v>P</v>
          </cell>
          <cell r="CN31">
            <v>0</v>
          </cell>
          <cell r="CO31">
            <v>0</v>
          </cell>
          <cell r="CP31" t="str">
            <v>P</v>
          </cell>
          <cell r="CQ31">
            <v>0</v>
          </cell>
          <cell r="CR31">
            <v>2.5</v>
          </cell>
          <cell r="CS31" t="str">
            <v>P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23</v>
          </cell>
          <cell r="DG31">
            <v>0</v>
          </cell>
          <cell r="DH31">
            <v>10</v>
          </cell>
          <cell r="DI31">
            <v>1</v>
          </cell>
          <cell r="DJ31">
            <v>0</v>
          </cell>
          <cell r="DK31">
            <v>0</v>
          </cell>
          <cell r="DL31">
            <v>4</v>
          </cell>
          <cell r="DM31">
            <v>23</v>
          </cell>
          <cell r="DN31">
            <v>28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</row>
        <row r="32">
          <cell r="D32" t="str">
            <v>SHE369</v>
          </cell>
          <cell r="E32">
            <v>0</v>
          </cell>
          <cell r="F32" t="str">
            <v>In Direct</v>
          </cell>
          <cell r="G32" t="str">
            <v>Padhiyar Saileshbhai Sureshbhai</v>
          </cell>
          <cell r="H32" t="str">
            <v>InDirect Labour Wage</v>
          </cell>
          <cell r="I32">
            <v>0</v>
          </cell>
          <cell r="J32" t="str">
            <v>UNIT-2</v>
          </cell>
          <cell r="K32" t="str">
            <v>Bushing</v>
          </cell>
          <cell r="L32" t="str">
            <v>Finishing &amp; Labelling</v>
          </cell>
          <cell r="M32" t="str">
            <v>Helper</v>
          </cell>
          <cell r="N32">
            <v>45966</v>
          </cell>
          <cell r="O32">
            <v>0.33150684931506852</v>
          </cell>
          <cell r="P32" t="str">
            <v>S</v>
          </cell>
          <cell r="Q32">
            <v>0</v>
          </cell>
          <cell r="R32">
            <v>0</v>
          </cell>
          <cell r="S32" t="str">
            <v>P</v>
          </cell>
          <cell r="T32">
            <v>0</v>
          </cell>
          <cell r="U32">
            <v>0</v>
          </cell>
          <cell r="V32" t="str">
            <v>P</v>
          </cell>
          <cell r="W32">
            <v>0</v>
          </cell>
          <cell r="X32">
            <v>0</v>
          </cell>
          <cell r="Y32" t="str">
            <v>P</v>
          </cell>
          <cell r="Z32">
            <v>0</v>
          </cell>
          <cell r="AA32">
            <v>0</v>
          </cell>
          <cell r="AB32" t="str">
            <v>P</v>
          </cell>
          <cell r="AC32">
            <v>0</v>
          </cell>
          <cell r="AD32">
            <v>0</v>
          </cell>
          <cell r="AE32" t="str">
            <v>P</v>
          </cell>
          <cell r="AF32">
            <v>0</v>
          </cell>
          <cell r="AG32">
            <v>0</v>
          </cell>
          <cell r="AH32" t="str">
            <v>P</v>
          </cell>
          <cell r="AI32">
            <v>0</v>
          </cell>
          <cell r="AJ32">
            <v>0</v>
          </cell>
          <cell r="AK32" t="str">
            <v>S</v>
          </cell>
          <cell r="AL32">
            <v>0</v>
          </cell>
          <cell r="AM32">
            <v>0</v>
          </cell>
          <cell r="AN32" t="str">
            <v>A</v>
          </cell>
          <cell r="AO32">
            <v>0</v>
          </cell>
          <cell r="AP32">
            <v>0</v>
          </cell>
          <cell r="AQ32" t="str">
            <v>P</v>
          </cell>
          <cell r="AR32">
            <v>0</v>
          </cell>
          <cell r="AS32">
            <v>7</v>
          </cell>
          <cell r="AT32" t="str">
            <v>P</v>
          </cell>
          <cell r="AU32">
            <v>0</v>
          </cell>
          <cell r="AV32">
            <v>0</v>
          </cell>
          <cell r="AW32" t="str">
            <v>P</v>
          </cell>
          <cell r="AX32">
            <v>0</v>
          </cell>
          <cell r="AY32">
            <v>0</v>
          </cell>
          <cell r="AZ32" t="str">
            <v>P</v>
          </cell>
          <cell r="BA32">
            <v>0</v>
          </cell>
          <cell r="BB32">
            <v>0</v>
          </cell>
          <cell r="BC32" t="str">
            <v>P</v>
          </cell>
          <cell r="BD32">
            <v>0</v>
          </cell>
          <cell r="BE32">
            <v>0</v>
          </cell>
          <cell r="BF32" t="str">
            <v>S</v>
          </cell>
          <cell r="BG32">
            <v>0</v>
          </cell>
          <cell r="BH32">
            <v>0</v>
          </cell>
          <cell r="BI32" t="str">
            <v>P</v>
          </cell>
          <cell r="BJ32">
            <v>0</v>
          </cell>
          <cell r="BK32">
            <v>0</v>
          </cell>
          <cell r="BL32" t="str">
            <v>P</v>
          </cell>
          <cell r="BM32">
            <v>0</v>
          </cell>
          <cell r="BN32">
            <v>0</v>
          </cell>
          <cell r="BO32" t="str">
            <v>P</v>
          </cell>
          <cell r="BP32">
            <v>0</v>
          </cell>
          <cell r="BQ32">
            <v>4</v>
          </cell>
          <cell r="BR32" t="str">
            <v>P</v>
          </cell>
          <cell r="BS32">
            <v>0</v>
          </cell>
          <cell r="BT32">
            <v>0</v>
          </cell>
          <cell r="BU32" t="str">
            <v>P</v>
          </cell>
          <cell r="BV32">
            <v>0</v>
          </cell>
          <cell r="BW32">
            <v>0</v>
          </cell>
          <cell r="BX32" t="str">
            <v>P</v>
          </cell>
          <cell r="BY32">
            <v>0</v>
          </cell>
          <cell r="BZ32">
            <v>0</v>
          </cell>
          <cell r="CA32" t="str">
            <v>S</v>
          </cell>
          <cell r="CB32">
            <v>0</v>
          </cell>
          <cell r="CC32">
            <v>0</v>
          </cell>
          <cell r="CD32" t="str">
            <v>P</v>
          </cell>
          <cell r="CE32">
            <v>0</v>
          </cell>
          <cell r="CF32">
            <v>2.5</v>
          </cell>
          <cell r="CG32" t="str">
            <v>P</v>
          </cell>
          <cell r="CH32">
            <v>0</v>
          </cell>
          <cell r="CI32">
            <v>0</v>
          </cell>
          <cell r="CJ32" t="str">
            <v>P</v>
          </cell>
          <cell r="CK32">
            <v>0</v>
          </cell>
          <cell r="CL32">
            <v>0</v>
          </cell>
          <cell r="CM32" t="str">
            <v>P</v>
          </cell>
          <cell r="CN32">
            <v>0</v>
          </cell>
          <cell r="CO32">
            <v>0</v>
          </cell>
          <cell r="CP32" t="str">
            <v>P</v>
          </cell>
          <cell r="CQ32">
            <v>0</v>
          </cell>
          <cell r="CR32">
            <v>2</v>
          </cell>
          <cell r="CS32" t="str">
            <v>P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23</v>
          </cell>
          <cell r="DG32">
            <v>0</v>
          </cell>
          <cell r="DH32">
            <v>15.5</v>
          </cell>
          <cell r="DI32">
            <v>1</v>
          </cell>
          <cell r="DJ32">
            <v>0</v>
          </cell>
          <cell r="DK32">
            <v>0</v>
          </cell>
          <cell r="DL32">
            <v>4</v>
          </cell>
          <cell r="DM32">
            <v>23</v>
          </cell>
          <cell r="DN32">
            <v>28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</row>
        <row r="33">
          <cell r="D33" t="str">
            <v>SHE371</v>
          </cell>
          <cell r="E33">
            <v>0</v>
          </cell>
          <cell r="F33" t="str">
            <v>In Direct</v>
          </cell>
          <cell r="G33" t="str">
            <v>Shaikh Arbajbhai Mahamadbhai</v>
          </cell>
          <cell r="H33" t="str">
            <v>InDirect Labour Wage</v>
          </cell>
          <cell r="I33">
            <v>0</v>
          </cell>
          <cell r="J33" t="str">
            <v>UNIT-2</v>
          </cell>
          <cell r="K33" t="str">
            <v>MV</v>
          </cell>
          <cell r="L33" t="str">
            <v>Packing</v>
          </cell>
          <cell r="M33" t="str">
            <v>Helper</v>
          </cell>
          <cell r="N33">
            <v>45968</v>
          </cell>
          <cell r="O33">
            <v>0.32602739726027397</v>
          </cell>
          <cell r="P33" t="str">
            <v>S</v>
          </cell>
          <cell r="Q33">
            <v>0</v>
          </cell>
          <cell r="R33">
            <v>0</v>
          </cell>
          <cell r="S33" t="str">
            <v>P</v>
          </cell>
          <cell r="T33">
            <v>0</v>
          </cell>
          <cell r="U33">
            <v>0</v>
          </cell>
          <cell r="V33" t="str">
            <v>P</v>
          </cell>
          <cell r="W33">
            <v>0</v>
          </cell>
          <cell r="X33">
            <v>0</v>
          </cell>
          <cell r="Y33" t="str">
            <v>P</v>
          </cell>
          <cell r="Z33">
            <v>0</v>
          </cell>
          <cell r="AA33">
            <v>0</v>
          </cell>
          <cell r="AB33" t="str">
            <v>P</v>
          </cell>
          <cell r="AC33">
            <v>0</v>
          </cell>
          <cell r="AD33">
            <v>0</v>
          </cell>
          <cell r="AE33" t="str">
            <v>P</v>
          </cell>
          <cell r="AF33">
            <v>0</v>
          </cell>
          <cell r="AG33">
            <v>0</v>
          </cell>
          <cell r="AH33" t="str">
            <v>P</v>
          </cell>
          <cell r="AI33">
            <v>0</v>
          </cell>
          <cell r="AJ33">
            <v>0</v>
          </cell>
          <cell r="AK33" t="str">
            <v>S</v>
          </cell>
          <cell r="AL33">
            <v>0</v>
          </cell>
          <cell r="AM33">
            <v>0</v>
          </cell>
          <cell r="AN33" t="str">
            <v>A</v>
          </cell>
          <cell r="AO33">
            <v>0</v>
          </cell>
          <cell r="AP33">
            <v>0</v>
          </cell>
          <cell r="AQ33" t="str">
            <v>A</v>
          </cell>
          <cell r="AR33">
            <v>0</v>
          </cell>
          <cell r="AS33">
            <v>0</v>
          </cell>
          <cell r="AT33" t="str">
            <v>P</v>
          </cell>
          <cell r="AU33">
            <v>0</v>
          </cell>
          <cell r="AV33">
            <v>0</v>
          </cell>
          <cell r="AW33" t="str">
            <v>P</v>
          </cell>
          <cell r="AX33">
            <v>0</v>
          </cell>
          <cell r="AY33">
            <v>0</v>
          </cell>
          <cell r="AZ33" t="str">
            <v>P</v>
          </cell>
          <cell r="BA33">
            <v>0</v>
          </cell>
          <cell r="BB33">
            <v>0</v>
          </cell>
          <cell r="BC33" t="str">
            <v>P</v>
          </cell>
          <cell r="BD33">
            <v>0</v>
          </cell>
          <cell r="BE33">
            <v>0</v>
          </cell>
          <cell r="BF33" t="str">
            <v>S</v>
          </cell>
          <cell r="BG33">
            <v>0</v>
          </cell>
          <cell r="BH33">
            <v>0</v>
          </cell>
          <cell r="BI33" t="str">
            <v>P</v>
          </cell>
          <cell r="BJ33">
            <v>0</v>
          </cell>
          <cell r="BK33">
            <v>0</v>
          </cell>
          <cell r="BL33" t="str">
            <v>P</v>
          </cell>
          <cell r="BM33">
            <v>0</v>
          </cell>
          <cell r="BN33">
            <v>0</v>
          </cell>
          <cell r="BO33" t="str">
            <v>P</v>
          </cell>
          <cell r="BP33">
            <v>0</v>
          </cell>
          <cell r="BQ33">
            <v>0</v>
          </cell>
          <cell r="BR33" t="str">
            <v>P</v>
          </cell>
          <cell r="BS33">
            <v>0</v>
          </cell>
          <cell r="BT33">
            <v>0</v>
          </cell>
          <cell r="BU33" t="str">
            <v>P</v>
          </cell>
          <cell r="BV33">
            <v>0</v>
          </cell>
          <cell r="BW33">
            <v>0</v>
          </cell>
          <cell r="BX33" t="str">
            <v>P</v>
          </cell>
          <cell r="BY33">
            <v>0</v>
          </cell>
          <cell r="BZ33">
            <v>5</v>
          </cell>
          <cell r="CA33" t="str">
            <v>S</v>
          </cell>
          <cell r="CB33">
            <v>0</v>
          </cell>
          <cell r="CC33">
            <v>0</v>
          </cell>
          <cell r="CD33" t="str">
            <v>P</v>
          </cell>
          <cell r="CE33">
            <v>0</v>
          </cell>
          <cell r="CF33">
            <v>0</v>
          </cell>
          <cell r="CG33" t="str">
            <v>P</v>
          </cell>
          <cell r="CH33">
            <v>0</v>
          </cell>
          <cell r="CI33">
            <v>0</v>
          </cell>
          <cell r="CJ33" t="str">
            <v>P</v>
          </cell>
          <cell r="CK33">
            <v>0</v>
          </cell>
          <cell r="CL33">
            <v>0</v>
          </cell>
          <cell r="CM33" t="str">
            <v>P</v>
          </cell>
          <cell r="CN33">
            <v>0</v>
          </cell>
          <cell r="CO33">
            <v>0</v>
          </cell>
          <cell r="CP33" t="str">
            <v>P</v>
          </cell>
          <cell r="CQ33">
            <v>0</v>
          </cell>
          <cell r="CR33">
            <v>1</v>
          </cell>
          <cell r="CS33" t="str">
            <v>P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22</v>
          </cell>
          <cell r="DG33">
            <v>0</v>
          </cell>
          <cell r="DH33">
            <v>6</v>
          </cell>
          <cell r="DI33">
            <v>2</v>
          </cell>
          <cell r="DJ33">
            <v>0</v>
          </cell>
          <cell r="DK33">
            <v>0</v>
          </cell>
          <cell r="DL33">
            <v>4</v>
          </cell>
          <cell r="DM33">
            <v>22</v>
          </cell>
          <cell r="DN33">
            <v>28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</row>
        <row r="34">
          <cell r="D34" t="str">
            <v>SHE373</v>
          </cell>
          <cell r="E34">
            <v>0</v>
          </cell>
          <cell r="F34" t="str">
            <v>In Direct</v>
          </cell>
          <cell r="G34" t="str">
            <v>Sindha Karansinh Rameshbhai</v>
          </cell>
          <cell r="H34" t="str">
            <v>InDirect Labour Wage</v>
          </cell>
          <cell r="I34">
            <v>0</v>
          </cell>
          <cell r="J34" t="str">
            <v>UNIT-2</v>
          </cell>
          <cell r="K34" t="str">
            <v>Store</v>
          </cell>
          <cell r="L34" t="str">
            <v>Store</v>
          </cell>
          <cell r="M34" t="str">
            <v>Helper</v>
          </cell>
          <cell r="N34">
            <v>45971</v>
          </cell>
          <cell r="O34">
            <v>0.31780821917808222</v>
          </cell>
          <cell r="P34" t="str">
            <v>S</v>
          </cell>
          <cell r="Q34">
            <v>0</v>
          </cell>
          <cell r="R34">
            <v>0</v>
          </cell>
          <cell r="S34" t="str">
            <v>P</v>
          </cell>
          <cell r="T34">
            <v>0</v>
          </cell>
          <cell r="U34">
            <v>0</v>
          </cell>
          <cell r="V34" t="str">
            <v>P</v>
          </cell>
          <cell r="W34">
            <v>0</v>
          </cell>
          <cell r="X34">
            <v>0</v>
          </cell>
          <cell r="Y34" t="str">
            <v>P</v>
          </cell>
          <cell r="Z34">
            <v>0</v>
          </cell>
          <cell r="AA34">
            <v>0</v>
          </cell>
          <cell r="AB34" t="str">
            <v>P</v>
          </cell>
          <cell r="AC34">
            <v>0</v>
          </cell>
          <cell r="AD34">
            <v>0</v>
          </cell>
          <cell r="AE34" t="str">
            <v>P</v>
          </cell>
          <cell r="AF34">
            <v>0</v>
          </cell>
          <cell r="AG34">
            <v>0</v>
          </cell>
          <cell r="AH34" t="str">
            <v>P</v>
          </cell>
          <cell r="AI34">
            <v>0</v>
          </cell>
          <cell r="AJ34">
            <v>0</v>
          </cell>
          <cell r="AK34" t="str">
            <v>S</v>
          </cell>
          <cell r="AL34">
            <v>0</v>
          </cell>
          <cell r="AM34">
            <v>0</v>
          </cell>
          <cell r="AN34" t="str">
            <v>P</v>
          </cell>
          <cell r="AO34">
            <v>0</v>
          </cell>
          <cell r="AP34">
            <v>0</v>
          </cell>
          <cell r="AQ34" t="str">
            <v>A</v>
          </cell>
          <cell r="AR34">
            <v>0</v>
          </cell>
          <cell r="AS34">
            <v>0</v>
          </cell>
          <cell r="AT34" t="str">
            <v>P</v>
          </cell>
          <cell r="AU34">
            <v>0</v>
          </cell>
          <cell r="AV34">
            <v>0</v>
          </cell>
          <cell r="AW34" t="str">
            <v>P</v>
          </cell>
          <cell r="AX34">
            <v>0</v>
          </cell>
          <cell r="AY34">
            <v>0</v>
          </cell>
          <cell r="AZ34" t="str">
            <v>P</v>
          </cell>
          <cell r="BA34">
            <v>0</v>
          </cell>
          <cell r="BB34">
            <v>0</v>
          </cell>
          <cell r="BC34" t="str">
            <v>P</v>
          </cell>
          <cell r="BD34">
            <v>0</v>
          </cell>
          <cell r="BE34">
            <v>0</v>
          </cell>
          <cell r="BF34" t="str">
            <v>S</v>
          </cell>
          <cell r="BG34">
            <v>0</v>
          </cell>
          <cell r="BH34">
            <v>0</v>
          </cell>
          <cell r="BI34" t="str">
            <v>P</v>
          </cell>
          <cell r="BJ34">
            <v>0</v>
          </cell>
          <cell r="BK34">
            <v>0</v>
          </cell>
          <cell r="BL34" t="str">
            <v>A</v>
          </cell>
          <cell r="BM34">
            <v>0</v>
          </cell>
          <cell r="BN34">
            <v>0</v>
          </cell>
          <cell r="BO34" t="str">
            <v>P</v>
          </cell>
          <cell r="BP34">
            <v>0</v>
          </cell>
          <cell r="BQ34">
            <v>0</v>
          </cell>
          <cell r="BR34" t="str">
            <v>P</v>
          </cell>
          <cell r="BS34">
            <v>0</v>
          </cell>
          <cell r="BT34">
            <v>0</v>
          </cell>
          <cell r="BU34" t="str">
            <v>P</v>
          </cell>
          <cell r="BV34">
            <v>0</v>
          </cell>
          <cell r="BW34">
            <v>0</v>
          </cell>
          <cell r="BX34" t="str">
            <v>P</v>
          </cell>
          <cell r="BY34">
            <v>0</v>
          </cell>
          <cell r="BZ34">
            <v>0</v>
          </cell>
          <cell r="CA34" t="str">
            <v>S</v>
          </cell>
          <cell r="CB34">
            <v>0</v>
          </cell>
          <cell r="CC34">
            <v>0</v>
          </cell>
          <cell r="CD34" t="str">
            <v>P</v>
          </cell>
          <cell r="CE34">
            <v>0</v>
          </cell>
          <cell r="CF34">
            <v>0</v>
          </cell>
          <cell r="CG34" t="str">
            <v>P</v>
          </cell>
          <cell r="CH34">
            <v>0</v>
          </cell>
          <cell r="CI34">
            <v>0</v>
          </cell>
          <cell r="CJ34" t="str">
            <v>P</v>
          </cell>
          <cell r="CK34">
            <v>0</v>
          </cell>
          <cell r="CL34">
            <v>0</v>
          </cell>
          <cell r="CM34" t="str">
            <v>P</v>
          </cell>
          <cell r="CN34">
            <v>0</v>
          </cell>
          <cell r="CO34">
            <v>2.5</v>
          </cell>
          <cell r="CP34" t="str">
            <v>P</v>
          </cell>
          <cell r="CQ34">
            <v>0</v>
          </cell>
          <cell r="CR34">
            <v>0</v>
          </cell>
          <cell r="CS34" t="str">
            <v>A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21</v>
          </cell>
          <cell r="DG34">
            <v>0</v>
          </cell>
          <cell r="DH34">
            <v>2.5</v>
          </cell>
          <cell r="DI34">
            <v>3</v>
          </cell>
          <cell r="DJ34">
            <v>0</v>
          </cell>
          <cell r="DK34">
            <v>0</v>
          </cell>
          <cell r="DL34">
            <v>4</v>
          </cell>
          <cell r="DM34">
            <v>21</v>
          </cell>
          <cell r="DN34">
            <v>28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</row>
        <row r="35">
          <cell r="D35" t="str">
            <v>SHE374</v>
          </cell>
          <cell r="E35">
            <v>0</v>
          </cell>
          <cell r="F35" t="str">
            <v>In Direct</v>
          </cell>
          <cell r="G35" t="str">
            <v>Sindha Mukeshbhai Babubhai</v>
          </cell>
          <cell r="H35" t="str">
            <v>InDirect Labour Wage</v>
          </cell>
          <cell r="I35">
            <v>0</v>
          </cell>
          <cell r="J35" t="str">
            <v>UNIT-2</v>
          </cell>
          <cell r="K35" t="str">
            <v>Store</v>
          </cell>
          <cell r="L35" t="str">
            <v>Store</v>
          </cell>
          <cell r="M35" t="str">
            <v>Helper</v>
          </cell>
          <cell r="N35">
            <v>45971</v>
          </cell>
          <cell r="O35">
            <v>0.31780821917808222</v>
          </cell>
          <cell r="P35" t="str">
            <v>S</v>
          </cell>
          <cell r="Q35">
            <v>0</v>
          </cell>
          <cell r="R35">
            <v>0</v>
          </cell>
          <cell r="S35" t="str">
            <v>P</v>
          </cell>
          <cell r="T35">
            <v>0</v>
          </cell>
          <cell r="U35">
            <v>0</v>
          </cell>
          <cell r="V35" t="str">
            <v>P</v>
          </cell>
          <cell r="W35">
            <v>0</v>
          </cell>
          <cell r="X35">
            <v>0</v>
          </cell>
          <cell r="Y35" t="str">
            <v>P</v>
          </cell>
          <cell r="Z35">
            <v>0</v>
          </cell>
          <cell r="AA35">
            <v>0</v>
          </cell>
          <cell r="AB35" t="str">
            <v>P</v>
          </cell>
          <cell r="AC35">
            <v>0</v>
          </cell>
          <cell r="AD35">
            <v>0</v>
          </cell>
          <cell r="AE35" t="str">
            <v>P</v>
          </cell>
          <cell r="AF35">
            <v>0</v>
          </cell>
          <cell r="AG35">
            <v>0</v>
          </cell>
          <cell r="AH35" t="str">
            <v>P</v>
          </cell>
          <cell r="AI35">
            <v>0</v>
          </cell>
          <cell r="AJ35">
            <v>0</v>
          </cell>
          <cell r="AK35" t="str">
            <v>S</v>
          </cell>
          <cell r="AL35">
            <v>0</v>
          </cell>
          <cell r="AM35">
            <v>0</v>
          </cell>
          <cell r="AN35" t="str">
            <v>P</v>
          </cell>
          <cell r="AO35">
            <v>0</v>
          </cell>
          <cell r="AP35">
            <v>0</v>
          </cell>
          <cell r="AQ35" t="str">
            <v>A</v>
          </cell>
          <cell r="AR35">
            <v>0</v>
          </cell>
          <cell r="AS35">
            <v>0</v>
          </cell>
          <cell r="AT35" t="str">
            <v>P</v>
          </cell>
          <cell r="AU35">
            <v>0</v>
          </cell>
          <cell r="AV35">
            <v>0</v>
          </cell>
          <cell r="AW35" t="str">
            <v>P</v>
          </cell>
          <cell r="AX35">
            <v>0</v>
          </cell>
          <cell r="AY35">
            <v>0</v>
          </cell>
          <cell r="AZ35" t="str">
            <v>P</v>
          </cell>
          <cell r="BA35">
            <v>0</v>
          </cell>
          <cell r="BB35">
            <v>0</v>
          </cell>
          <cell r="BC35" t="str">
            <v>P</v>
          </cell>
          <cell r="BD35">
            <v>0</v>
          </cell>
          <cell r="BE35">
            <v>0</v>
          </cell>
          <cell r="BF35" t="str">
            <v>S</v>
          </cell>
          <cell r="BG35">
            <v>0</v>
          </cell>
          <cell r="BH35">
            <v>0</v>
          </cell>
          <cell r="BI35" t="str">
            <v>P</v>
          </cell>
          <cell r="BJ35">
            <v>0</v>
          </cell>
          <cell r="BK35">
            <v>0</v>
          </cell>
          <cell r="BL35" t="str">
            <v>P</v>
          </cell>
          <cell r="BM35">
            <v>0</v>
          </cell>
          <cell r="BN35">
            <v>0</v>
          </cell>
          <cell r="BO35" t="str">
            <v>P</v>
          </cell>
          <cell r="BP35">
            <v>0</v>
          </cell>
          <cell r="BQ35">
            <v>0</v>
          </cell>
          <cell r="BR35" t="str">
            <v>P</v>
          </cell>
          <cell r="BS35">
            <v>0</v>
          </cell>
          <cell r="BT35">
            <v>0</v>
          </cell>
          <cell r="BU35" t="str">
            <v>P</v>
          </cell>
          <cell r="BV35">
            <v>0</v>
          </cell>
          <cell r="BW35">
            <v>0</v>
          </cell>
          <cell r="BX35" t="str">
            <v>P</v>
          </cell>
          <cell r="BY35">
            <v>0</v>
          </cell>
          <cell r="BZ35">
            <v>0</v>
          </cell>
          <cell r="CA35" t="str">
            <v>S</v>
          </cell>
          <cell r="CB35">
            <v>0</v>
          </cell>
          <cell r="CC35">
            <v>0</v>
          </cell>
          <cell r="CD35" t="str">
            <v>P</v>
          </cell>
          <cell r="CE35">
            <v>0</v>
          </cell>
          <cell r="CF35">
            <v>0</v>
          </cell>
          <cell r="CG35" t="str">
            <v>P</v>
          </cell>
          <cell r="CH35">
            <v>0</v>
          </cell>
          <cell r="CI35">
            <v>0</v>
          </cell>
          <cell r="CJ35" t="str">
            <v>P</v>
          </cell>
          <cell r="CK35">
            <v>0</v>
          </cell>
          <cell r="CL35">
            <v>0</v>
          </cell>
          <cell r="CM35" t="str">
            <v>P</v>
          </cell>
          <cell r="CN35">
            <v>0</v>
          </cell>
          <cell r="CO35">
            <v>0</v>
          </cell>
          <cell r="CP35" t="str">
            <v>P</v>
          </cell>
          <cell r="CQ35">
            <v>0</v>
          </cell>
          <cell r="CR35">
            <v>0</v>
          </cell>
          <cell r="CS35" t="str">
            <v>P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23</v>
          </cell>
          <cell r="DG35">
            <v>0</v>
          </cell>
          <cell r="DH35">
            <v>0</v>
          </cell>
          <cell r="DI35">
            <v>1</v>
          </cell>
          <cell r="DJ35">
            <v>0</v>
          </cell>
          <cell r="DK35">
            <v>0</v>
          </cell>
          <cell r="DL35">
            <v>4</v>
          </cell>
          <cell r="DM35">
            <v>23</v>
          </cell>
          <cell r="DN35">
            <v>28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</row>
        <row r="36">
          <cell r="D36" t="str">
            <v>SHE378</v>
          </cell>
          <cell r="E36">
            <v>0</v>
          </cell>
          <cell r="F36" t="str">
            <v>Direct</v>
          </cell>
          <cell r="G36" t="str">
            <v>Guddu kumar Rampukar Ram</v>
          </cell>
          <cell r="H36" t="str">
            <v>Direct Labour Wage</v>
          </cell>
          <cell r="I36">
            <v>0</v>
          </cell>
          <cell r="J36" t="str">
            <v>UNIT-2</v>
          </cell>
          <cell r="K36" t="str">
            <v>MV</v>
          </cell>
          <cell r="L36" t="str">
            <v>Casting</v>
          </cell>
          <cell r="M36" t="str">
            <v>Helper</v>
          </cell>
          <cell r="N36">
            <v>45979</v>
          </cell>
          <cell r="O36">
            <v>0.29589041095890412</v>
          </cell>
          <cell r="P36" t="str">
            <v>S</v>
          </cell>
          <cell r="Q36">
            <v>0</v>
          </cell>
          <cell r="R36">
            <v>0</v>
          </cell>
          <cell r="S36" t="str">
            <v>P</v>
          </cell>
          <cell r="T36">
            <v>0</v>
          </cell>
          <cell r="U36">
            <v>1</v>
          </cell>
          <cell r="V36" t="str">
            <v>P</v>
          </cell>
          <cell r="W36">
            <v>0</v>
          </cell>
          <cell r="X36">
            <v>1</v>
          </cell>
          <cell r="Y36" t="str">
            <v>P</v>
          </cell>
          <cell r="Z36">
            <v>0</v>
          </cell>
          <cell r="AA36">
            <v>1</v>
          </cell>
          <cell r="AB36" t="str">
            <v>A</v>
          </cell>
          <cell r="AC36">
            <v>0</v>
          </cell>
          <cell r="AD36">
            <v>0</v>
          </cell>
          <cell r="AE36" t="str">
            <v>A</v>
          </cell>
          <cell r="AF36">
            <v>0</v>
          </cell>
          <cell r="AG36">
            <v>0</v>
          </cell>
          <cell r="AH36" t="str">
            <v>A</v>
          </cell>
          <cell r="AI36">
            <v>0</v>
          </cell>
          <cell r="AJ36">
            <v>0</v>
          </cell>
          <cell r="AK36" t="str">
            <v>A</v>
          </cell>
          <cell r="AL36">
            <v>0</v>
          </cell>
          <cell r="AM36">
            <v>0</v>
          </cell>
          <cell r="AN36" t="str">
            <v>A</v>
          </cell>
          <cell r="AO36">
            <v>0</v>
          </cell>
          <cell r="AP36">
            <v>0</v>
          </cell>
          <cell r="AQ36" t="str">
            <v>A</v>
          </cell>
          <cell r="AR36">
            <v>0</v>
          </cell>
          <cell r="AS36">
            <v>0</v>
          </cell>
          <cell r="AT36" t="str">
            <v>A</v>
          </cell>
          <cell r="AU36">
            <v>0</v>
          </cell>
          <cell r="AV36">
            <v>0</v>
          </cell>
          <cell r="AW36" t="str">
            <v>A</v>
          </cell>
          <cell r="AX36">
            <v>0</v>
          </cell>
          <cell r="AY36">
            <v>0</v>
          </cell>
          <cell r="AZ36" t="str">
            <v>A</v>
          </cell>
          <cell r="BA36">
            <v>0</v>
          </cell>
          <cell r="BB36">
            <v>0</v>
          </cell>
          <cell r="BC36" t="str">
            <v>A</v>
          </cell>
          <cell r="BD36">
            <v>0</v>
          </cell>
          <cell r="BE36">
            <v>0</v>
          </cell>
          <cell r="BF36" t="str">
            <v>A</v>
          </cell>
          <cell r="BG36">
            <v>0</v>
          </cell>
          <cell r="BH36">
            <v>0</v>
          </cell>
          <cell r="BI36" t="str">
            <v>A</v>
          </cell>
          <cell r="BJ36">
            <v>0</v>
          </cell>
          <cell r="BK36">
            <v>0</v>
          </cell>
          <cell r="BL36" t="str">
            <v>A</v>
          </cell>
          <cell r="BM36">
            <v>0</v>
          </cell>
          <cell r="BN36">
            <v>0</v>
          </cell>
          <cell r="BO36" t="str">
            <v>A</v>
          </cell>
          <cell r="BP36">
            <v>0</v>
          </cell>
          <cell r="BQ36">
            <v>0</v>
          </cell>
          <cell r="BR36" t="str">
            <v>A</v>
          </cell>
          <cell r="BS36">
            <v>0</v>
          </cell>
          <cell r="BT36">
            <v>0</v>
          </cell>
          <cell r="BU36" t="str">
            <v>A</v>
          </cell>
          <cell r="BV36">
            <v>0</v>
          </cell>
          <cell r="BW36">
            <v>0</v>
          </cell>
          <cell r="BX36" t="str">
            <v>A</v>
          </cell>
          <cell r="BY36">
            <v>0</v>
          </cell>
          <cell r="BZ36">
            <v>0</v>
          </cell>
          <cell r="CA36" t="str">
            <v>A</v>
          </cell>
          <cell r="CB36">
            <v>0</v>
          </cell>
          <cell r="CC36">
            <v>0</v>
          </cell>
          <cell r="CD36" t="str">
            <v>A</v>
          </cell>
          <cell r="CE36">
            <v>0</v>
          </cell>
          <cell r="CF36">
            <v>0</v>
          </cell>
          <cell r="CG36" t="str">
            <v>A</v>
          </cell>
          <cell r="CH36">
            <v>0</v>
          </cell>
          <cell r="CI36">
            <v>0</v>
          </cell>
          <cell r="CJ36" t="str">
            <v>A</v>
          </cell>
          <cell r="CK36">
            <v>0</v>
          </cell>
          <cell r="CL36">
            <v>0</v>
          </cell>
          <cell r="CM36" t="str">
            <v>A</v>
          </cell>
          <cell r="CN36">
            <v>0</v>
          </cell>
          <cell r="CO36">
            <v>0</v>
          </cell>
          <cell r="CP36" t="str">
            <v>A</v>
          </cell>
          <cell r="CQ36">
            <v>0</v>
          </cell>
          <cell r="CR36">
            <v>0</v>
          </cell>
          <cell r="CS36" t="str">
            <v>A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3</v>
          </cell>
          <cell r="DG36">
            <v>0</v>
          </cell>
          <cell r="DH36">
            <v>3</v>
          </cell>
          <cell r="DI36">
            <v>24</v>
          </cell>
          <cell r="DJ36">
            <v>0</v>
          </cell>
          <cell r="DK36">
            <v>0</v>
          </cell>
          <cell r="DL36">
            <v>1</v>
          </cell>
          <cell r="DM36">
            <v>3</v>
          </cell>
          <cell r="DN36">
            <v>28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</row>
        <row r="37">
          <cell r="D37" t="str">
            <v>SHE379</v>
          </cell>
          <cell r="E37">
            <v>0</v>
          </cell>
          <cell r="F37" t="str">
            <v>In Direct</v>
          </cell>
          <cell r="G37" t="str">
            <v>Navneetsinh Janaksinh Parmar</v>
          </cell>
          <cell r="H37" t="str">
            <v>InDirect Labour Wage</v>
          </cell>
          <cell r="I37">
            <v>0</v>
          </cell>
          <cell r="J37" t="str">
            <v>UNIT-2</v>
          </cell>
          <cell r="K37" t="str">
            <v>Maintenance</v>
          </cell>
          <cell r="L37" t="str">
            <v>Maintenance</v>
          </cell>
          <cell r="M37" t="str">
            <v>Electrician</v>
          </cell>
          <cell r="N37">
            <v>45979</v>
          </cell>
          <cell r="O37">
            <v>0.29589041095890412</v>
          </cell>
          <cell r="P37" t="str">
            <v>S</v>
          </cell>
          <cell r="Q37">
            <v>0</v>
          </cell>
          <cell r="R37">
            <v>0</v>
          </cell>
          <cell r="S37" t="str">
            <v>P</v>
          </cell>
          <cell r="T37">
            <v>0</v>
          </cell>
          <cell r="U37">
            <v>0</v>
          </cell>
          <cell r="V37" t="str">
            <v>P</v>
          </cell>
          <cell r="W37">
            <v>0</v>
          </cell>
          <cell r="X37">
            <v>0</v>
          </cell>
          <cell r="Y37" t="str">
            <v>P</v>
          </cell>
          <cell r="Z37">
            <v>0</v>
          </cell>
          <cell r="AA37">
            <v>0</v>
          </cell>
          <cell r="AB37" t="str">
            <v>P</v>
          </cell>
          <cell r="AC37">
            <v>0</v>
          </cell>
          <cell r="AD37">
            <v>0</v>
          </cell>
          <cell r="AE37" t="str">
            <v>P</v>
          </cell>
          <cell r="AF37">
            <v>0</v>
          </cell>
          <cell r="AG37">
            <v>0</v>
          </cell>
          <cell r="AH37" t="str">
            <v>P</v>
          </cell>
          <cell r="AI37">
            <v>0</v>
          </cell>
          <cell r="AJ37">
            <v>0</v>
          </cell>
          <cell r="AK37" t="str">
            <v>S</v>
          </cell>
          <cell r="AL37">
            <v>0</v>
          </cell>
          <cell r="AM37">
            <v>0</v>
          </cell>
          <cell r="AN37" t="str">
            <v>A</v>
          </cell>
          <cell r="AO37">
            <v>0</v>
          </cell>
          <cell r="AP37">
            <v>0</v>
          </cell>
          <cell r="AQ37" t="str">
            <v>A</v>
          </cell>
          <cell r="AR37">
            <v>0</v>
          </cell>
          <cell r="AS37">
            <v>0</v>
          </cell>
          <cell r="AT37" t="str">
            <v>P</v>
          </cell>
          <cell r="AU37">
            <v>0</v>
          </cell>
          <cell r="AV37">
            <v>2</v>
          </cell>
          <cell r="AW37" t="str">
            <v>A</v>
          </cell>
          <cell r="AX37">
            <v>0</v>
          </cell>
          <cell r="AY37">
            <v>0</v>
          </cell>
          <cell r="AZ37" t="str">
            <v>P</v>
          </cell>
          <cell r="BA37">
            <v>0</v>
          </cell>
          <cell r="BB37">
            <v>0</v>
          </cell>
          <cell r="BC37" t="str">
            <v>A</v>
          </cell>
          <cell r="BD37">
            <v>0</v>
          </cell>
          <cell r="BE37">
            <v>0</v>
          </cell>
          <cell r="BF37" t="str">
            <v>S</v>
          </cell>
          <cell r="BG37">
            <v>0</v>
          </cell>
          <cell r="BH37">
            <v>0</v>
          </cell>
          <cell r="BI37" t="str">
            <v>P</v>
          </cell>
          <cell r="BJ37">
            <v>0</v>
          </cell>
          <cell r="BK37">
            <v>0</v>
          </cell>
          <cell r="BL37" t="str">
            <v>P</v>
          </cell>
          <cell r="BM37">
            <v>0</v>
          </cell>
          <cell r="BN37">
            <v>0</v>
          </cell>
          <cell r="BO37" t="str">
            <v>P</v>
          </cell>
          <cell r="BP37">
            <v>0</v>
          </cell>
          <cell r="BQ37">
            <v>0</v>
          </cell>
          <cell r="BR37" t="str">
            <v>P</v>
          </cell>
          <cell r="BS37">
            <v>0</v>
          </cell>
          <cell r="BT37">
            <v>0</v>
          </cell>
          <cell r="BU37" t="str">
            <v>P</v>
          </cell>
          <cell r="BV37">
            <v>0</v>
          </cell>
          <cell r="BW37">
            <v>0</v>
          </cell>
          <cell r="BX37" t="str">
            <v>A</v>
          </cell>
          <cell r="BY37">
            <v>0</v>
          </cell>
          <cell r="BZ37">
            <v>0</v>
          </cell>
          <cell r="CA37" t="str">
            <v>A</v>
          </cell>
          <cell r="CB37">
            <v>0</v>
          </cell>
          <cell r="CC37">
            <v>0</v>
          </cell>
          <cell r="CD37" t="str">
            <v>A</v>
          </cell>
          <cell r="CE37">
            <v>0</v>
          </cell>
          <cell r="CF37">
            <v>0</v>
          </cell>
          <cell r="CG37" t="str">
            <v>P</v>
          </cell>
          <cell r="CH37">
            <v>0</v>
          </cell>
          <cell r="CI37">
            <v>0</v>
          </cell>
          <cell r="CJ37" t="str">
            <v>P</v>
          </cell>
          <cell r="CK37">
            <v>0</v>
          </cell>
          <cell r="CL37">
            <v>0</v>
          </cell>
          <cell r="CM37" t="str">
            <v>P</v>
          </cell>
          <cell r="CN37">
            <v>0</v>
          </cell>
          <cell r="CO37">
            <v>0</v>
          </cell>
          <cell r="CP37" t="str">
            <v>P</v>
          </cell>
          <cell r="CQ37">
            <v>0</v>
          </cell>
          <cell r="CR37">
            <v>0</v>
          </cell>
          <cell r="CS37" t="str">
            <v>P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18</v>
          </cell>
          <cell r="DG37">
            <v>0</v>
          </cell>
          <cell r="DH37">
            <v>2</v>
          </cell>
          <cell r="DI37">
            <v>7</v>
          </cell>
          <cell r="DJ37">
            <v>0</v>
          </cell>
          <cell r="DK37">
            <v>0</v>
          </cell>
          <cell r="DL37">
            <v>3</v>
          </cell>
          <cell r="DM37">
            <v>18</v>
          </cell>
          <cell r="DN37">
            <v>28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</row>
        <row r="38">
          <cell r="D38" t="str">
            <v>SHE380</v>
          </cell>
          <cell r="E38">
            <v>0</v>
          </cell>
          <cell r="F38" t="str">
            <v>Direct</v>
          </cell>
          <cell r="G38" t="str">
            <v>Padiyar Heenaben Sanjaybhai</v>
          </cell>
          <cell r="H38" t="str">
            <v>Direct Labour Wage</v>
          </cell>
          <cell r="I38">
            <v>0</v>
          </cell>
          <cell r="J38" t="str">
            <v>UNIT-2</v>
          </cell>
          <cell r="K38" t="str">
            <v>MV</v>
          </cell>
          <cell r="L38" t="str">
            <v>HV Winding</v>
          </cell>
          <cell r="M38" t="str">
            <v>Helper</v>
          </cell>
          <cell r="N38">
            <v>45980</v>
          </cell>
          <cell r="O38">
            <v>0.29315068493150687</v>
          </cell>
          <cell r="P38" t="str">
            <v>S</v>
          </cell>
          <cell r="Q38">
            <v>0</v>
          </cell>
          <cell r="R38">
            <v>0</v>
          </cell>
          <cell r="S38" t="str">
            <v>P</v>
          </cell>
          <cell r="T38">
            <v>0</v>
          </cell>
          <cell r="U38">
            <v>0</v>
          </cell>
          <cell r="V38" t="str">
            <v>P</v>
          </cell>
          <cell r="W38">
            <v>0</v>
          </cell>
          <cell r="X38">
            <v>0</v>
          </cell>
          <cell r="Y38" t="str">
            <v>P</v>
          </cell>
          <cell r="Z38">
            <v>0</v>
          </cell>
          <cell r="AA38">
            <v>0</v>
          </cell>
          <cell r="AB38" t="str">
            <v>P</v>
          </cell>
          <cell r="AC38">
            <v>0</v>
          </cell>
          <cell r="AD38">
            <v>0</v>
          </cell>
          <cell r="AE38" t="str">
            <v>P</v>
          </cell>
          <cell r="AF38">
            <v>0</v>
          </cell>
          <cell r="AG38">
            <v>0</v>
          </cell>
          <cell r="AH38" t="str">
            <v>P</v>
          </cell>
          <cell r="AI38">
            <v>0</v>
          </cell>
          <cell r="AJ38">
            <v>0</v>
          </cell>
          <cell r="AK38" t="str">
            <v>S</v>
          </cell>
          <cell r="AL38">
            <v>0</v>
          </cell>
          <cell r="AM38">
            <v>0</v>
          </cell>
          <cell r="AN38" t="str">
            <v>P</v>
          </cell>
          <cell r="AO38">
            <v>0</v>
          </cell>
          <cell r="AP38">
            <v>0</v>
          </cell>
          <cell r="AQ38" t="str">
            <v>A</v>
          </cell>
          <cell r="AR38">
            <v>0</v>
          </cell>
          <cell r="AS38">
            <v>0</v>
          </cell>
          <cell r="AT38" t="str">
            <v>P</v>
          </cell>
          <cell r="AU38">
            <v>0</v>
          </cell>
          <cell r="AV38">
            <v>0</v>
          </cell>
          <cell r="AW38" t="str">
            <v>P</v>
          </cell>
          <cell r="AX38">
            <v>0</v>
          </cell>
          <cell r="AY38">
            <v>0</v>
          </cell>
          <cell r="AZ38" t="str">
            <v>P</v>
          </cell>
          <cell r="BA38">
            <v>0</v>
          </cell>
          <cell r="BB38">
            <v>0</v>
          </cell>
          <cell r="BC38" t="str">
            <v>P</v>
          </cell>
          <cell r="BD38">
            <v>0</v>
          </cell>
          <cell r="BE38">
            <v>0</v>
          </cell>
          <cell r="BF38" t="str">
            <v>S</v>
          </cell>
          <cell r="BG38">
            <v>0</v>
          </cell>
          <cell r="BH38">
            <v>0</v>
          </cell>
          <cell r="BI38" t="str">
            <v>P</v>
          </cell>
          <cell r="BJ38">
            <v>0</v>
          </cell>
          <cell r="BK38">
            <v>0</v>
          </cell>
          <cell r="BL38" t="str">
            <v>P</v>
          </cell>
          <cell r="BM38">
            <v>0</v>
          </cell>
          <cell r="BN38">
            <v>0</v>
          </cell>
          <cell r="BO38" t="str">
            <v>P</v>
          </cell>
          <cell r="BP38">
            <v>0</v>
          </cell>
          <cell r="BQ38">
            <v>0</v>
          </cell>
          <cell r="BR38" t="str">
            <v>P</v>
          </cell>
          <cell r="BS38">
            <v>0</v>
          </cell>
          <cell r="BT38">
            <v>0</v>
          </cell>
          <cell r="BU38" t="str">
            <v>P</v>
          </cell>
          <cell r="BV38">
            <v>0</v>
          </cell>
          <cell r="BW38">
            <v>0</v>
          </cell>
          <cell r="BX38" t="str">
            <v>A</v>
          </cell>
          <cell r="BY38">
            <v>0</v>
          </cell>
          <cell r="BZ38">
            <v>0</v>
          </cell>
          <cell r="CA38" t="str">
            <v>S</v>
          </cell>
          <cell r="CB38">
            <v>0</v>
          </cell>
          <cell r="CC38">
            <v>0</v>
          </cell>
          <cell r="CD38" t="str">
            <v>P</v>
          </cell>
          <cell r="CE38">
            <v>0</v>
          </cell>
          <cell r="CF38">
            <v>0</v>
          </cell>
          <cell r="CG38" t="str">
            <v>P</v>
          </cell>
          <cell r="CH38">
            <v>0</v>
          </cell>
          <cell r="CI38">
            <v>0</v>
          </cell>
          <cell r="CJ38" t="str">
            <v>P</v>
          </cell>
          <cell r="CK38">
            <v>0</v>
          </cell>
          <cell r="CL38">
            <v>0</v>
          </cell>
          <cell r="CM38" t="str">
            <v>P</v>
          </cell>
          <cell r="CN38">
            <v>0</v>
          </cell>
          <cell r="CO38">
            <v>0</v>
          </cell>
          <cell r="CP38" t="str">
            <v>P</v>
          </cell>
          <cell r="CQ38">
            <v>0</v>
          </cell>
          <cell r="CR38">
            <v>0</v>
          </cell>
          <cell r="CS38" t="str">
            <v>P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22</v>
          </cell>
          <cell r="DG38">
            <v>0</v>
          </cell>
          <cell r="DH38">
            <v>0</v>
          </cell>
          <cell r="DI38">
            <v>2</v>
          </cell>
          <cell r="DJ38">
            <v>0</v>
          </cell>
          <cell r="DK38">
            <v>0</v>
          </cell>
          <cell r="DL38">
            <v>4</v>
          </cell>
          <cell r="DM38">
            <v>22</v>
          </cell>
          <cell r="DN38">
            <v>28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</row>
        <row r="39">
          <cell r="D39" t="str">
            <v>SHE381</v>
          </cell>
          <cell r="E39">
            <v>0</v>
          </cell>
          <cell r="F39" t="str">
            <v>Direct</v>
          </cell>
          <cell r="G39" t="str">
            <v>Patel Poojaben Brijeshbhai</v>
          </cell>
          <cell r="H39" t="str">
            <v>Direct Labour Wage</v>
          </cell>
          <cell r="I39">
            <v>0</v>
          </cell>
          <cell r="J39" t="str">
            <v>UNIT-2</v>
          </cell>
          <cell r="K39" t="str">
            <v>MV</v>
          </cell>
          <cell r="L39" t="str">
            <v>HV Winding</v>
          </cell>
          <cell r="M39" t="str">
            <v>Helper</v>
          </cell>
          <cell r="N39">
            <v>45980</v>
          </cell>
          <cell r="O39">
            <v>0.29315068493150687</v>
          </cell>
          <cell r="P39" t="str">
            <v>S</v>
          </cell>
          <cell r="Q39">
            <v>0</v>
          </cell>
          <cell r="R39">
            <v>0</v>
          </cell>
          <cell r="S39" t="str">
            <v>P</v>
          </cell>
          <cell r="T39">
            <v>0</v>
          </cell>
          <cell r="U39">
            <v>0</v>
          </cell>
          <cell r="V39" t="str">
            <v>P</v>
          </cell>
          <cell r="W39">
            <v>0</v>
          </cell>
          <cell r="X39">
            <v>0</v>
          </cell>
          <cell r="Y39" t="str">
            <v>P</v>
          </cell>
          <cell r="Z39">
            <v>0</v>
          </cell>
          <cell r="AA39">
            <v>0</v>
          </cell>
          <cell r="AB39" t="str">
            <v>P</v>
          </cell>
          <cell r="AC39">
            <v>0</v>
          </cell>
          <cell r="AD39">
            <v>0</v>
          </cell>
          <cell r="AE39" t="str">
            <v>P</v>
          </cell>
          <cell r="AF39">
            <v>0</v>
          </cell>
          <cell r="AG39">
            <v>0</v>
          </cell>
          <cell r="AH39" t="str">
            <v>HD</v>
          </cell>
          <cell r="AI39">
            <v>0</v>
          </cell>
          <cell r="AJ39">
            <v>0</v>
          </cell>
          <cell r="AK39" t="str">
            <v>S</v>
          </cell>
          <cell r="AL39">
            <v>0</v>
          </cell>
          <cell r="AM39">
            <v>0</v>
          </cell>
          <cell r="AN39" t="str">
            <v>P</v>
          </cell>
          <cell r="AO39">
            <v>0</v>
          </cell>
          <cell r="AP39">
            <v>0</v>
          </cell>
          <cell r="AQ39" t="str">
            <v>A</v>
          </cell>
          <cell r="AR39">
            <v>0</v>
          </cell>
          <cell r="AS39">
            <v>0</v>
          </cell>
          <cell r="AT39" t="str">
            <v>P</v>
          </cell>
          <cell r="AU39">
            <v>0</v>
          </cell>
          <cell r="AV39">
            <v>0</v>
          </cell>
          <cell r="AW39" t="str">
            <v>P</v>
          </cell>
          <cell r="AX39">
            <v>0</v>
          </cell>
          <cell r="AY39">
            <v>0</v>
          </cell>
          <cell r="AZ39" t="str">
            <v>P</v>
          </cell>
          <cell r="BA39">
            <v>0</v>
          </cell>
          <cell r="BB39">
            <v>0</v>
          </cell>
          <cell r="BC39" t="str">
            <v>P</v>
          </cell>
          <cell r="BD39">
            <v>0</v>
          </cell>
          <cell r="BE39">
            <v>0</v>
          </cell>
          <cell r="BF39" t="str">
            <v>S</v>
          </cell>
          <cell r="BG39">
            <v>0</v>
          </cell>
          <cell r="BH39">
            <v>0</v>
          </cell>
          <cell r="BI39" t="str">
            <v>P</v>
          </cell>
          <cell r="BJ39">
            <v>0</v>
          </cell>
          <cell r="BK39">
            <v>0</v>
          </cell>
          <cell r="BL39" t="str">
            <v>P</v>
          </cell>
          <cell r="BM39">
            <v>0</v>
          </cell>
          <cell r="BN39">
            <v>0</v>
          </cell>
          <cell r="BO39" t="str">
            <v>P</v>
          </cell>
          <cell r="BP39">
            <v>0</v>
          </cell>
          <cell r="BQ39">
            <v>0</v>
          </cell>
          <cell r="BR39" t="str">
            <v>P</v>
          </cell>
          <cell r="BS39">
            <v>0</v>
          </cell>
          <cell r="BT39">
            <v>0</v>
          </cell>
          <cell r="BU39" t="str">
            <v>P</v>
          </cell>
          <cell r="BV39">
            <v>0</v>
          </cell>
          <cell r="BW39">
            <v>0</v>
          </cell>
          <cell r="BX39" t="str">
            <v>P</v>
          </cell>
          <cell r="BY39">
            <v>0</v>
          </cell>
          <cell r="BZ39">
            <v>0</v>
          </cell>
          <cell r="CA39" t="str">
            <v>S</v>
          </cell>
          <cell r="CB39">
            <v>0</v>
          </cell>
          <cell r="CC39">
            <v>0</v>
          </cell>
          <cell r="CD39" t="str">
            <v>P</v>
          </cell>
          <cell r="CE39">
            <v>0</v>
          </cell>
          <cell r="CF39">
            <v>0</v>
          </cell>
          <cell r="CG39" t="str">
            <v>P</v>
          </cell>
          <cell r="CH39">
            <v>0</v>
          </cell>
          <cell r="CI39">
            <v>0</v>
          </cell>
          <cell r="CJ39" t="str">
            <v>P</v>
          </cell>
          <cell r="CK39">
            <v>0</v>
          </cell>
          <cell r="CL39">
            <v>0</v>
          </cell>
          <cell r="CM39" t="str">
            <v>P</v>
          </cell>
          <cell r="CN39">
            <v>0</v>
          </cell>
          <cell r="CO39">
            <v>0</v>
          </cell>
          <cell r="CP39" t="str">
            <v>P</v>
          </cell>
          <cell r="CQ39">
            <v>0</v>
          </cell>
          <cell r="CR39">
            <v>0</v>
          </cell>
          <cell r="CS39" t="str">
            <v>P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0.5</v>
          </cell>
          <cell r="DF39">
            <v>22.5</v>
          </cell>
          <cell r="DG39">
            <v>0</v>
          </cell>
          <cell r="DH39">
            <v>0</v>
          </cell>
          <cell r="DI39">
            <v>1.5</v>
          </cell>
          <cell r="DJ39">
            <v>0</v>
          </cell>
          <cell r="DK39">
            <v>0</v>
          </cell>
          <cell r="DL39">
            <v>4</v>
          </cell>
          <cell r="DM39">
            <v>22.5</v>
          </cell>
          <cell r="DN39">
            <v>28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</row>
        <row r="40">
          <cell r="D40" t="str">
            <v>SHE383</v>
          </cell>
          <cell r="E40">
            <v>0</v>
          </cell>
          <cell r="F40" t="str">
            <v>Direct</v>
          </cell>
          <cell r="G40" t="str">
            <v xml:space="preserve">Parmar Rekhaben Dilipbhai </v>
          </cell>
          <cell r="H40" t="str">
            <v>Direct Labour Wage</v>
          </cell>
          <cell r="I40">
            <v>0</v>
          </cell>
          <cell r="J40" t="str">
            <v>UNIT-2</v>
          </cell>
          <cell r="K40" t="str">
            <v>MV</v>
          </cell>
          <cell r="L40" t="str">
            <v>HV Winding</v>
          </cell>
          <cell r="M40" t="str">
            <v>Helper</v>
          </cell>
          <cell r="N40">
            <v>45980</v>
          </cell>
          <cell r="O40">
            <v>0.29315068493150687</v>
          </cell>
          <cell r="P40" t="str">
            <v>S</v>
          </cell>
          <cell r="Q40">
            <v>0</v>
          </cell>
          <cell r="R40">
            <v>0</v>
          </cell>
          <cell r="S40" t="str">
            <v>P</v>
          </cell>
          <cell r="T40">
            <v>0</v>
          </cell>
          <cell r="U40">
            <v>0</v>
          </cell>
          <cell r="V40" t="str">
            <v>P</v>
          </cell>
          <cell r="W40">
            <v>0</v>
          </cell>
          <cell r="X40">
            <v>0</v>
          </cell>
          <cell r="Y40" t="str">
            <v>P</v>
          </cell>
          <cell r="Z40">
            <v>0</v>
          </cell>
          <cell r="AA40">
            <v>0</v>
          </cell>
          <cell r="AB40" t="str">
            <v>P</v>
          </cell>
          <cell r="AC40">
            <v>0</v>
          </cell>
          <cell r="AD40">
            <v>0</v>
          </cell>
          <cell r="AE40" t="str">
            <v>P</v>
          </cell>
          <cell r="AF40">
            <v>0</v>
          </cell>
          <cell r="AG40">
            <v>0</v>
          </cell>
          <cell r="AH40" t="str">
            <v>P</v>
          </cell>
          <cell r="AI40">
            <v>0</v>
          </cell>
          <cell r="AJ40">
            <v>0</v>
          </cell>
          <cell r="AK40" t="str">
            <v>S</v>
          </cell>
          <cell r="AL40">
            <v>0</v>
          </cell>
          <cell r="AM40">
            <v>0</v>
          </cell>
          <cell r="AN40" t="str">
            <v>P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>
            <v>0</v>
          </cell>
          <cell r="AT40" t="str">
            <v>P</v>
          </cell>
          <cell r="AU40">
            <v>0</v>
          </cell>
          <cell r="AV40">
            <v>0</v>
          </cell>
          <cell r="AW40" t="str">
            <v>P</v>
          </cell>
          <cell r="AX40">
            <v>0</v>
          </cell>
          <cell r="AY40">
            <v>0</v>
          </cell>
          <cell r="AZ40" t="str">
            <v>P</v>
          </cell>
          <cell r="BA40">
            <v>0</v>
          </cell>
          <cell r="BB40">
            <v>0</v>
          </cell>
          <cell r="BC40" t="str">
            <v>P</v>
          </cell>
          <cell r="BD40">
            <v>0</v>
          </cell>
          <cell r="BE40">
            <v>0</v>
          </cell>
          <cell r="BF40" t="str">
            <v>S</v>
          </cell>
          <cell r="BG40">
            <v>0</v>
          </cell>
          <cell r="BH40">
            <v>0</v>
          </cell>
          <cell r="BI40" t="str">
            <v>P</v>
          </cell>
          <cell r="BJ40">
            <v>0</v>
          </cell>
          <cell r="BK40">
            <v>0</v>
          </cell>
          <cell r="BL40" t="str">
            <v>P</v>
          </cell>
          <cell r="BM40">
            <v>0</v>
          </cell>
          <cell r="BN40">
            <v>0</v>
          </cell>
          <cell r="BO40" t="str">
            <v>P</v>
          </cell>
          <cell r="BP40">
            <v>0</v>
          </cell>
          <cell r="BQ40">
            <v>0</v>
          </cell>
          <cell r="BR40" t="str">
            <v>P</v>
          </cell>
          <cell r="BS40">
            <v>0</v>
          </cell>
          <cell r="BT40">
            <v>0</v>
          </cell>
          <cell r="BU40" t="str">
            <v>P</v>
          </cell>
          <cell r="BV40">
            <v>0</v>
          </cell>
          <cell r="BW40">
            <v>0</v>
          </cell>
          <cell r="BX40" t="str">
            <v>P</v>
          </cell>
          <cell r="BY40">
            <v>0</v>
          </cell>
          <cell r="BZ40">
            <v>0</v>
          </cell>
          <cell r="CA40" t="str">
            <v>S</v>
          </cell>
          <cell r="CB40">
            <v>0</v>
          </cell>
          <cell r="CC40">
            <v>0</v>
          </cell>
          <cell r="CD40" t="str">
            <v>A</v>
          </cell>
          <cell r="CE40">
            <v>0</v>
          </cell>
          <cell r="CF40">
            <v>0</v>
          </cell>
          <cell r="CG40" t="str">
            <v>P</v>
          </cell>
          <cell r="CH40">
            <v>0</v>
          </cell>
          <cell r="CI40">
            <v>0</v>
          </cell>
          <cell r="CJ40" t="str">
            <v>P</v>
          </cell>
          <cell r="CK40">
            <v>0</v>
          </cell>
          <cell r="CL40">
            <v>0</v>
          </cell>
          <cell r="CM40" t="str">
            <v>P</v>
          </cell>
          <cell r="CN40">
            <v>0</v>
          </cell>
          <cell r="CO40">
            <v>0</v>
          </cell>
          <cell r="CP40" t="str">
            <v>P</v>
          </cell>
          <cell r="CQ40">
            <v>0</v>
          </cell>
          <cell r="CR40">
            <v>0</v>
          </cell>
          <cell r="CS40" t="str">
            <v>P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23</v>
          </cell>
          <cell r="DG40">
            <v>0</v>
          </cell>
          <cell r="DH40">
            <v>0</v>
          </cell>
          <cell r="DI40">
            <v>1</v>
          </cell>
          <cell r="DJ40">
            <v>0</v>
          </cell>
          <cell r="DK40">
            <v>0</v>
          </cell>
          <cell r="DL40">
            <v>4</v>
          </cell>
          <cell r="DM40">
            <v>23</v>
          </cell>
          <cell r="DN40">
            <v>28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</row>
        <row r="41">
          <cell r="D41" t="str">
            <v>SHE385</v>
          </cell>
          <cell r="E41">
            <v>0</v>
          </cell>
          <cell r="F41" t="str">
            <v>Direct</v>
          </cell>
          <cell r="G41" t="str">
            <v>Makwana Puspaben Mahendrabhai</v>
          </cell>
          <cell r="H41" t="str">
            <v>Direct Labour Wage</v>
          </cell>
          <cell r="I41">
            <v>0</v>
          </cell>
          <cell r="J41" t="str">
            <v>UNIT-2</v>
          </cell>
          <cell r="K41" t="str">
            <v>MV</v>
          </cell>
          <cell r="L41" t="str">
            <v>HV Winding</v>
          </cell>
          <cell r="M41" t="str">
            <v>Helper</v>
          </cell>
          <cell r="N41">
            <v>45980</v>
          </cell>
          <cell r="O41">
            <v>0.29315068493150687</v>
          </cell>
          <cell r="P41" t="str">
            <v>S</v>
          </cell>
          <cell r="Q41">
            <v>0</v>
          </cell>
          <cell r="R41">
            <v>0</v>
          </cell>
          <cell r="S41" t="str">
            <v>P</v>
          </cell>
          <cell r="T41">
            <v>0</v>
          </cell>
          <cell r="U41">
            <v>0</v>
          </cell>
          <cell r="V41" t="str">
            <v>P</v>
          </cell>
          <cell r="W41">
            <v>0</v>
          </cell>
          <cell r="X41">
            <v>0</v>
          </cell>
          <cell r="Y41" t="str">
            <v>P</v>
          </cell>
          <cell r="Z41">
            <v>0</v>
          </cell>
          <cell r="AA41">
            <v>0</v>
          </cell>
          <cell r="AB41" t="str">
            <v>P</v>
          </cell>
          <cell r="AC41">
            <v>0</v>
          </cell>
          <cell r="AD41">
            <v>0</v>
          </cell>
          <cell r="AE41" t="str">
            <v>P</v>
          </cell>
          <cell r="AF41">
            <v>0</v>
          </cell>
          <cell r="AG41">
            <v>0</v>
          </cell>
          <cell r="AH41" t="str">
            <v>P</v>
          </cell>
          <cell r="AI41">
            <v>0</v>
          </cell>
          <cell r="AJ41">
            <v>0</v>
          </cell>
          <cell r="AK41" t="str">
            <v>S</v>
          </cell>
          <cell r="AL41">
            <v>0</v>
          </cell>
          <cell r="AM41">
            <v>0</v>
          </cell>
          <cell r="AN41" t="str">
            <v>P</v>
          </cell>
          <cell r="AO41">
            <v>0</v>
          </cell>
          <cell r="AP41">
            <v>0</v>
          </cell>
          <cell r="AQ41" t="str">
            <v>P</v>
          </cell>
          <cell r="AR41">
            <v>0</v>
          </cell>
          <cell r="AS41">
            <v>0</v>
          </cell>
          <cell r="AT41" t="str">
            <v>P</v>
          </cell>
          <cell r="AU41">
            <v>0</v>
          </cell>
          <cell r="AV41">
            <v>0</v>
          </cell>
          <cell r="AW41" t="str">
            <v>P</v>
          </cell>
          <cell r="AX41">
            <v>0</v>
          </cell>
          <cell r="AY41">
            <v>0</v>
          </cell>
          <cell r="AZ41" t="str">
            <v>P</v>
          </cell>
          <cell r="BA41">
            <v>0</v>
          </cell>
          <cell r="BB41">
            <v>0</v>
          </cell>
          <cell r="BC41" t="str">
            <v>P</v>
          </cell>
          <cell r="BD41">
            <v>0</v>
          </cell>
          <cell r="BE41">
            <v>0</v>
          </cell>
          <cell r="BF41" t="str">
            <v>S</v>
          </cell>
          <cell r="BG41">
            <v>0</v>
          </cell>
          <cell r="BH41">
            <v>0</v>
          </cell>
          <cell r="BI41" t="str">
            <v>P</v>
          </cell>
          <cell r="BJ41">
            <v>0</v>
          </cell>
          <cell r="BK41">
            <v>0</v>
          </cell>
          <cell r="BL41" t="str">
            <v>P</v>
          </cell>
          <cell r="BM41">
            <v>0</v>
          </cell>
          <cell r="BN41">
            <v>0</v>
          </cell>
          <cell r="BO41" t="str">
            <v>P</v>
          </cell>
          <cell r="BP41">
            <v>0</v>
          </cell>
          <cell r="BQ41">
            <v>0</v>
          </cell>
          <cell r="BR41" t="str">
            <v>P</v>
          </cell>
          <cell r="BS41">
            <v>0</v>
          </cell>
          <cell r="BT41">
            <v>0</v>
          </cell>
          <cell r="BU41" t="str">
            <v>P</v>
          </cell>
          <cell r="BV41">
            <v>0</v>
          </cell>
          <cell r="BW41">
            <v>0</v>
          </cell>
          <cell r="BX41" t="str">
            <v>P</v>
          </cell>
          <cell r="BY41">
            <v>0</v>
          </cell>
          <cell r="BZ41">
            <v>0</v>
          </cell>
          <cell r="CA41" t="str">
            <v>S</v>
          </cell>
          <cell r="CB41">
            <v>0</v>
          </cell>
          <cell r="CC41">
            <v>0</v>
          </cell>
          <cell r="CD41" t="str">
            <v>P</v>
          </cell>
          <cell r="CE41">
            <v>0</v>
          </cell>
          <cell r="CF41">
            <v>0</v>
          </cell>
          <cell r="CG41" t="str">
            <v>P</v>
          </cell>
          <cell r="CH41">
            <v>0</v>
          </cell>
          <cell r="CI41">
            <v>0</v>
          </cell>
          <cell r="CJ41" t="str">
            <v>P</v>
          </cell>
          <cell r="CK41">
            <v>0</v>
          </cell>
          <cell r="CL41">
            <v>0</v>
          </cell>
          <cell r="CM41" t="str">
            <v>P</v>
          </cell>
          <cell r="CN41">
            <v>0</v>
          </cell>
          <cell r="CO41">
            <v>0</v>
          </cell>
          <cell r="CP41" t="str">
            <v>P</v>
          </cell>
          <cell r="CQ41">
            <v>0</v>
          </cell>
          <cell r="CR41">
            <v>0</v>
          </cell>
          <cell r="CS41" t="str">
            <v>P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24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4</v>
          </cell>
          <cell r="DM41">
            <v>24</v>
          </cell>
          <cell r="DN41">
            <v>28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</row>
        <row r="42">
          <cell r="D42" t="str">
            <v>SHE386</v>
          </cell>
          <cell r="E42">
            <v>0</v>
          </cell>
          <cell r="F42" t="str">
            <v>Direct</v>
          </cell>
          <cell r="G42" t="str">
            <v>Patanvadiya Sonal Vijaybhai</v>
          </cell>
          <cell r="H42" t="str">
            <v>Direct Labour Wage</v>
          </cell>
          <cell r="I42">
            <v>0</v>
          </cell>
          <cell r="J42" t="str">
            <v>UNIT-2</v>
          </cell>
          <cell r="K42" t="str">
            <v>MV</v>
          </cell>
          <cell r="L42" t="str">
            <v>HV Winding</v>
          </cell>
          <cell r="M42" t="str">
            <v>Helper</v>
          </cell>
          <cell r="N42">
            <v>45980</v>
          </cell>
          <cell r="O42">
            <v>0.29315068493150687</v>
          </cell>
          <cell r="P42" t="str">
            <v>S</v>
          </cell>
          <cell r="Q42">
            <v>0</v>
          </cell>
          <cell r="R42">
            <v>0</v>
          </cell>
          <cell r="S42" t="str">
            <v>P</v>
          </cell>
          <cell r="T42">
            <v>0</v>
          </cell>
          <cell r="U42">
            <v>0</v>
          </cell>
          <cell r="V42" t="str">
            <v>A</v>
          </cell>
          <cell r="W42">
            <v>0</v>
          </cell>
          <cell r="X42">
            <v>0</v>
          </cell>
          <cell r="Y42" t="str">
            <v>P</v>
          </cell>
          <cell r="Z42">
            <v>0</v>
          </cell>
          <cell r="AA42">
            <v>0</v>
          </cell>
          <cell r="AB42" t="str">
            <v>P</v>
          </cell>
          <cell r="AC42">
            <v>0</v>
          </cell>
          <cell r="AD42">
            <v>0</v>
          </cell>
          <cell r="AE42" t="str">
            <v>P</v>
          </cell>
          <cell r="AF42">
            <v>0</v>
          </cell>
          <cell r="AG42">
            <v>0</v>
          </cell>
          <cell r="AH42" t="str">
            <v>P</v>
          </cell>
          <cell r="AI42">
            <v>0</v>
          </cell>
          <cell r="AJ42">
            <v>0</v>
          </cell>
          <cell r="AK42" t="str">
            <v>S</v>
          </cell>
          <cell r="AL42">
            <v>0</v>
          </cell>
          <cell r="AM42">
            <v>0</v>
          </cell>
          <cell r="AN42" t="str">
            <v>P</v>
          </cell>
          <cell r="AO42">
            <v>0</v>
          </cell>
          <cell r="AP42">
            <v>0</v>
          </cell>
          <cell r="AQ42" t="str">
            <v>P</v>
          </cell>
          <cell r="AR42">
            <v>0</v>
          </cell>
          <cell r="AS42">
            <v>0</v>
          </cell>
          <cell r="AT42" t="str">
            <v>A</v>
          </cell>
          <cell r="AU42">
            <v>0</v>
          </cell>
          <cell r="AV42">
            <v>0</v>
          </cell>
          <cell r="AW42" t="str">
            <v>P</v>
          </cell>
          <cell r="AX42">
            <v>0</v>
          </cell>
          <cell r="AY42">
            <v>0</v>
          </cell>
          <cell r="AZ42" t="str">
            <v>P</v>
          </cell>
          <cell r="BA42">
            <v>0</v>
          </cell>
          <cell r="BB42">
            <v>0</v>
          </cell>
          <cell r="BC42" t="str">
            <v>P</v>
          </cell>
          <cell r="BD42">
            <v>0</v>
          </cell>
          <cell r="BE42">
            <v>0</v>
          </cell>
          <cell r="BF42" t="str">
            <v>S</v>
          </cell>
          <cell r="BG42">
            <v>0</v>
          </cell>
          <cell r="BH42">
            <v>0</v>
          </cell>
          <cell r="BI42" t="str">
            <v>P</v>
          </cell>
          <cell r="BJ42">
            <v>0</v>
          </cell>
          <cell r="BK42">
            <v>0</v>
          </cell>
          <cell r="BL42" t="str">
            <v>P</v>
          </cell>
          <cell r="BM42">
            <v>0</v>
          </cell>
          <cell r="BN42">
            <v>0</v>
          </cell>
          <cell r="BO42" t="str">
            <v>P</v>
          </cell>
          <cell r="BP42">
            <v>0</v>
          </cell>
          <cell r="BQ42">
            <v>0</v>
          </cell>
          <cell r="BR42" t="str">
            <v>P</v>
          </cell>
          <cell r="BS42">
            <v>0</v>
          </cell>
          <cell r="BT42">
            <v>0</v>
          </cell>
          <cell r="BU42" t="str">
            <v>P</v>
          </cell>
          <cell r="BV42">
            <v>0</v>
          </cell>
          <cell r="BW42">
            <v>0</v>
          </cell>
          <cell r="BX42" t="str">
            <v>A</v>
          </cell>
          <cell r="BY42">
            <v>0</v>
          </cell>
          <cell r="BZ42">
            <v>0</v>
          </cell>
          <cell r="CA42" t="str">
            <v>S</v>
          </cell>
          <cell r="CB42">
            <v>0</v>
          </cell>
          <cell r="CC42">
            <v>0</v>
          </cell>
          <cell r="CD42" t="str">
            <v>P</v>
          </cell>
          <cell r="CE42">
            <v>0</v>
          </cell>
          <cell r="CF42">
            <v>0</v>
          </cell>
          <cell r="CG42" t="str">
            <v>P</v>
          </cell>
          <cell r="CH42">
            <v>0</v>
          </cell>
          <cell r="CI42">
            <v>0</v>
          </cell>
          <cell r="CJ42" t="str">
            <v>P</v>
          </cell>
          <cell r="CK42">
            <v>0</v>
          </cell>
          <cell r="CL42">
            <v>0</v>
          </cell>
          <cell r="CM42" t="str">
            <v>P</v>
          </cell>
          <cell r="CN42">
            <v>0</v>
          </cell>
          <cell r="CO42">
            <v>0</v>
          </cell>
          <cell r="CP42" t="str">
            <v>P</v>
          </cell>
          <cell r="CQ42">
            <v>0</v>
          </cell>
          <cell r="CR42">
            <v>0</v>
          </cell>
          <cell r="CS42" t="str">
            <v>P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21</v>
          </cell>
          <cell r="DG42">
            <v>0</v>
          </cell>
          <cell r="DH42">
            <v>0</v>
          </cell>
          <cell r="DI42">
            <v>3</v>
          </cell>
          <cell r="DJ42">
            <v>0</v>
          </cell>
          <cell r="DK42">
            <v>0</v>
          </cell>
          <cell r="DL42">
            <v>4</v>
          </cell>
          <cell r="DM42">
            <v>21</v>
          </cell>
          <cell r="DN42">
            <v>28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</row>
        <row r="43">
          <cell r="D43" t="str">
            <v>SHE387</v>
          </cell>
          <cell r="E43">
            <v>0</v>
          </cell>
          <cell r="F43" t="str">
            <v>Direct</v>
          </cell>
          <cell r="G43" t="str">
            <v>Parmar bhavinaben Pareshkumar</v>
          </cell>
          <cell r="H43" t="str">
            <v>Direct Labour Wage</v>
          </cell>
          <cell r="I43">
            <v>0</v>
          </cell>
          <cell r="J43" t="str">
            <v>UNIT-2</v>
          </cell>
          <cell r="K43" t="str">
            <v>MV</v>
          </cell>
          <cell r="L43" t="str">
            <v>HV Winding</v>
          </cell>
          <cell r="M43" t="str">
            <v>Helper</v>
          </cell>
          <cell r="N43">
            <v>45980</v>
          </cell>
          <cell r="O43">
            <v>0.29315068493150687</v>
          </cell>
          <cell r="P43" t="str">
            <v>S</v>
          </cell>
          <cell r="Q43">
            <v>0</v>
          </cell>
          <cell r="R43">
            <v>0</v>
          </cell>
          <cell r="S43" t="str">
            <v>P</v>
          </cell>
          <cell r="T43">
            <v>0</v>
          </cell>
          <cell r="U43">
            <v>0</v>
          </cell>
          <cell r="V43" t="str">
            <v>P</v>
          </cell>
          <cell r="W43">
            <v>0</v>
          </cell>
          <cell r="X43">
            <v>0</v>
          </cell>
          <cell r="Y43" t="str">
            <v>P</v>
          </cell>
          <cell r="Z43">
            <v>0</v>
          </cell>
          <cell r="AA43">
            <v>0</v>
          </cell>
          <cell r="AB43" t="str">
            <v>P</v>
          </cell>
          <cell r="AC43">
            <v>0</v>
          </cell>
          <cell r="AD43">
            <v>0</v>
          </cell>
          <cell r="AE43" t="str">
            <v>A</v>
          </cell>
          <cell r="AF43">
            <v>0</v>
          </cell>
          <cell r="AG43">
            <v>0</v>
          </cell>
          <cell r="AH43" t="str">
            <v>A</v>
          </cell>
          <cell r="AI43">
            <v>0</v>
          </cell>
          <cell r="AJ43">
            <v>0</v>
          </cell>
          <cell r="AK43" t="str">
            <v>S</v>
          </cell>
          <cell r="AL43">
            <v>0</v>
          </cell>
          <cell r="AM43">
            <v>0</v>
          </cell>
          <cell r="AN43" t="str">
            <v>P</v>
          </cell>
          <cell r="AO43">
            <v>0</v>
          </cell>
          <cell r="AP43">
            <v>0</v>
          </cell>
          <cell r="AQ43" t="str">
            <v>P</v>
          </cell>
          <cell r="AR43">
            <v>0</v>
          </cell>
          <cell r="AS43">
            <v>0</v>
          </cell>
          <cell r="AT43" t="str">
            <v>P</v>
          </cell>
          <cell r="AU43">
            <v>0</v>
          </cell>
          <cell r="AV43">
            <v>0</v>
          </cell>
          <cell r="AW43" t="str">
            <v>P</v>
          </cell>
          <cell r="AX43">
            <v>0</v>
          </cell>
          <cell r="AY43">
            <v>0</v>
          </cell>
          <cell r="AZ43" t="str">
            <v>P</v>
          </cell>
          <cell r="BA43">
            <v>0</v>
          </cell>
          <cell r="BB43">
            <v>0</v>
          </cell>
          <cell r="BC43" t="str">
            <v>P</v>
          </cell>
          <cell r="BD43">
            <v>0</v>
          </cell>
          <cell r="BE43">
            <v>0</v>
          </cell>
          <cell r="BF43" t="str">
            <v>S</v>
          </cell>
          <cell r="BG43">
            <v>0</v>
          </cell>
          <cell r="BH43">
            <v>0</v>
          </cell>
          <cell r="BI43" t="str">
            <v>P</v>
          </cell>
          <cell r="BJ43">
            <v>0</v>
          </cell>
          <cell r="BK43">
            <v>0</v>
          </cell>
          <cell r="BL43" t="str">
            <v>P</v>
          </cell>
          <cell r="BM43">
            <v>0</v>
          </cell>
          <cell r="BN43">
            <v>0</v>
          </cell>
          <cell r="BO43" t="str">
            <v>P</v>
          </cell>
          <cell r="BP43">
            <v>0</v>
          </cell>
          <cell r="BQ43">
            <v>0</v>
          </cell>
          <cell r="BR43" t="str">
            <v>P</v>
          </cell>
          <cell r="BS43">
            <v>0</v>
          </cell>
          <cell r="BT43">
            <v>0</v>
          </cell>
          <cell r="BU43" t="str">
            <v>P</v>
          </cell>
          <cell r="BV43">
            <v>0</v>
          </cell>
          <cell r="BW43">
            <v>0</v>
          </cell>
          <cell r="BX43" t="str">
            <v>P</v>
          </cell>
          <cell r="BY43">
            <v>0</v>
          </cell>
          <cell r="BZ43">
            <v>0</v>
          </cell>
          <cell r="CA43" t="str">
            <v>S</v>
          </cell>
          <cell r="CB43">
            <v>0</v>
          </cell>
          <cell r="CC43">
            <v>0</v>
          </cell>
          <cell r="CD43" t="str">
            <v>P</v>
          </cell>
          <cell r="CE43">
            <v>0</v>
          </cell>
          <cell r="CF43">
            <v>0</v>
          </cell>
          <cell r="CG43" t="str">
            <v>P</v>
          </cell>
          <cell r="CH43">
            <v>0</v>
          </cell>
          <cell r="CI43">
            <v>0</v>
          </cell>
          <cell r="CJ43" t="str">
            <v>A</v>
          </cell>
          <cell r="CK43">
            <v>0</v>
          </cell>
          <cell r="CL43">
            <v>0</v>
          </cell>
          <cell r="CM43" t="str">
            <v>A</v>
          </cell>
          <cell r="CN43">
            <v>0</v>
          </cell>
          <cell r="CO43">
            <v>0</v>
          </cell>
          <cell r="CP43" t="str">
            <v>A</v>
          </cell>
          <cell r="CQ43">
            <v>0</v>
          </cell>
          <cell r="CR43">
            <v>0</v>
          </cell>
          <cell r="CS43" t="str">
            <v>A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18</v>
          </cell>
          <cell r="DG43">
            <v>0</v>
          </cell>
          <cell r="DH43">
            <v>0</v>
          </cell>
          <cell r="DI43">
            <v>6</v>
          </cell>
          <cell r="DJ43">
            <v>0</v>
          </cell>
          <cell r="DK43">
            <v>0</v>
          </cell>
          <cell r="DL43">
            <v>4</v>
          </cell>
          <cell r="DM43">
            <v>18</v>
          </cell>
          <cell r="DN43">
            <v>28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</row>
        <row r="44">
          <cell r="D44" t="str">
            <v>SHE388</v>
          </cell>
          <cell r="E44">
            <v>0</v>
          </cell>
          <cell r="F44" t="str">
            <v>In Direct</v>
          </cell>
          <cell r="G44" t="str">
            <v>Chetnaben Maheshbhai vasava</v>
          </cell>
          <cell r="H44" t="str">
            <v>InDirect Labour Wage</v>
          </cell>
          <cell r="I44">
            <v>0</v>
          </cell>
          <cell r="J44" t="str">
            <v>UNIT-2</v>
          </cell>
          <cell r="K44" t="str">
            <v>MV</v>
          </cell>
          <cell r="L44" t="str">
            <v>Finishing</v>
          </cell>
          <cell r="M44" t="str">
            <v>Helper</v>
          </cell>
          <cell r="N44">
            <v>45980</v>
          </cell>
          <cell r="O44">
            <v>0.29315068493150687</v>
          </cell>
          <cell r="P44" t="str">
            <v>S</v>
          </cell>
          <cell r="Q44">
            <v>0</v>
          </cell>
          <cell r="R44">
            <v>0</v>
          </cell>
          <cell r="S44" t="str">
            <v>P</v>
          </cell>
          <cell r="T44">
            <v>0</v>
          </cell>
          <cell r="U44">
            <v>0</v>
          </cell>
          <cell r="V44" t="str">
            <v>P</v>
          </cell>
          <cell r="W44">
            <v>0</v>
          </cell>
          <cell r="X44">
            <v>0</v>
          </cell>
          <cell r="Y44" t="str">
            <v>P</v>
          </cell>
          <cell r="Z44">
            <v>0</v>
          </cell>
          <cell r="AA44">
            <v>0</v>
          </cell>
          <cell r="AB44" t="str">
            <v>P</v>
          </cell>
          <cell r="AC44">
            <v>0</v>
          </cell>
          <cell r="AD44">
            <v>0</v>
          </cell>
          <cell r="AE44" t="str">
            <v>P</v>
          </cell>
          <cell r="AF44">
            <v>0</v>
          </cell>
          <cell r="AG44">
            <v>0</v>
          </cell>
          <cell r="AH44" t="str">
            <v>A</v>
          </cell>
          <cell r="AI44">
            <v>0</v>
          </cell>
          <cell r="AJ44">
            <v>0</v>
          </cell>
          <cell r="AK44" t="str">
            <v>S</v>
          </cell>
          <cell r="AL44">
            <v>0</v>
          </cell>
          <cell r="AM44">
            <v>0</v>
          </cell>
          <cell r="AN44" t="str">
            <v>P</v>
          </cell>
          <cell r="AO44">
            <v>0</v>
          </cell>
          <cell r="AP44">
            <v>0</v>
          </cell>
          <cell r="AQ44" t="str">
            <v>P</v>
          </cell>
          <cell r="AR44">
            <v>0</v>
          </cell>
          <cell r="AS44">
            <v>0</v>
          </cell>
          <cell r="AT44" t="str">
            <v>A</v>
          </cell>
          <cell r="AU44">
            <v>0</v>
          </cell>
          <cell r="AV44">
            <v>0</v>
          </cell>
          <cell r="AW44" t="str">
            <v>A</v>
          </cell>
          <cell r="AX44">
            <v>0</v>
          </cell>
          <cell r="AY44">
            <v>0</v>
          </cell>
          <cell r="AZ44" t="str">
            <v>A</v>
          </cell>
          <cell r="BA44">
            <v>0</v>
          </cell>
          <cell r="BB44">
            <v>0</v>
          </cell>
          <cell r="BC44" t="str">
            <v>P</v>
          </cell>
          <cell r="BD44">
            <v>0</v>
          </cell>
          <cell r="BE44">
            <v>0</v>
          </cell>
          <cell r="BF44" t="str">
            <v>S</v>
          </cell>
          <cell r="BG44">
            <v>0</v>
          </cell>
          <cell r="BH44">
            <v>0</v>
          </cell>
          <cell r="BI44" t="str">
            <v>P</v>
          </cell>
          <cell r="BJ44">
            <v>0</v>
          </cell>
          <cell r="BK44">
            <v>0</v>
          </cell>
          <cell r="BL44" t="str">
            <v>P</v>
          </cell>
          <cell r="BM44">
            <v>0</v>
          </cell>
          <cell r="BN44">
            <v>0</v>
          </cell>
          <cell r="BO44" t="str">
            <v>P</v>
          </cell>
          <cell r="BP44">
            <v>0</v>
          </cell>
          <cell r="BQ44">
            <v>0</v>
          </cell>
          <cell r="BR44" t="str">
            <v>P</v>
          </cell>
          <cell r="BS44">
            <v>0</v>
          </cell>
          <cell r="BT44">
            <v>0</v>
          </cell>
          <cell r="BU44" t="str">
            <v>P</v>
          </cell>
          <cell r="BV44">
            <v>0</v>
          </cell>
          <cell r="BW44">
            <v>0</v>
          </cell>
          <cell r="BX44" t="str">
            <v>P</v>
          </cell>
          <cell r="BY44">
            <v>0</v>
          </cell>
          <cell r="BZ44">
            <v>0</v>
          </cell>
          <cell r="CA44" t="str">
            <v>S</v>
          </cell>
          <cell r="CB44">
            <v>0</v>
          </cell>
          <cell r="CC44">
            <v>0</v>
          </cell>
          <cell r="CD44" t="str">
            <v>P</v>
          </cell>
          <cell r="CE44">
            <v>0</v>
          </cell>
          <cell r="CF44">
            <v>0</v>
          </cell>
          <cell r="CG44" t="str">
            <v>P</v>
          </cell>
          <cell r="CH44">
            <v>0</v>
          </cell>
          <cell r="CI44">
            <v>0</v>
          </cell>
          <cell r="CJ44" t="str">
            <v>P</v>
          </cell>
          <cell r="CK44">
            <v>0</v>
          </cell>
          <cell r="CL44">
            <v>0</v>
          </cell>
          <cell r="CM44" t="str">
            <v>P</v>
          </cell>
          <cell r="CN44">
            <v>0</v>
          </cell>
          <cell r="CO44">
            <v>0</v>
          </cell>
          <cell r="CP44" t="str">
            <v>P</v>
          </cell>
          <cell r="CQ44">
            <v>0</v>
          </cell>
          <cell r="CR44">
            <v>0</v>
          </cell>
          <cell r="CS44" t="str">
            <v>P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20</v>
          </cell>
          <cell r="DG44">
            <v>0</v>
          </cell>
          <cell r="DH44">
            <v>0</v>
          </cell>
          <cell r="DI44">
            <v>4</v>
          </cell>
          <cell r="DJ44">
            <v>0</v>
          </cell>
          <cell r="DK44">
            <v>0</v>
          </cell>
          <cell r="DL44">
            <v>4</v>
          </cell>
          <cell r="DM44">
            <v>20</v>
          </cell>
          <cell r="DN44">
            <v>28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</row>
        <row r="45">
          <cell r="D45" t="str">
            <v>SHE389</v>
          </cell>
          <cell r="E45">
            <v>0</v>
          </cell>
          <cell r="F45" t="str">
            <v>Direct</v>
          </cell>
          <cell r="G45" t="str">
            <v>Divya nareshbhai Mali</v>
          </cell>
          <cell r="H45" t="str">
            <v>Direct Labour Wage</v>
          </cell>
          <cell r="I45">
            <v>0</v>
          </cell>
          <cell r="J45" t="str">
            <v>UNIT-2</v>
          </cell>
          <cell r="K45" t="str">
            <v>MV</v>
          </cell>
          <cell r="L45" t="str">
            <v>Assembly</v>
          </cell>
          <cell r="M45" t="str">
            <v>Helper</v>
          </cell>
          <cell r="N45">
            <v>45980</v>
          </cell>
          <cell r="O45">
            <v>0.29315068493150687</v>
          </cell>
          <cell r="P45" t="str">
            <v>S</v>
          </cell>
          <cell r="Q45">
            <v>0</v>
          </cell>
          <cell r="R45">
            <v>0</v>
          </cell>
          <cell r="S45" t="str">
            <v>P</v>
          </cell>
          <cell r="T45">
            <v>0</v>
          </cell>
          <cell r="U45">
            <v>0</v>
          </cell>
          <cell r="V45" t="str">
            <v>P</v>
          </cell>
          <cell r="W45">
            <v>0</v>
          </cell>
          <cell r="X45">
            <v>0</v>
          </cell>
          <cell r="Y45" t="str">
            <v>P</v>
          </cell>
          <cell r="Z45">
            <v>0</v>
          </cell>
          <cell r="AA45">
            <v>0</v>
          </cell>
          <cell r="AB45" t="str">
            <v>P</v>
          </cell>
          <cell r="AC45">
            <v>0</v>
          </cell>
          <cell r="AD45">
            <v>0</v>
          </cell>
          <cell r="AE45" t="str">
            <v>P</v>
          </cell>
          <cell r="AF45">
            <v>0</v>
          </cell>
          <cell r="AG45">
            <v>0</v>
          </cell>
          <cell r="AH45" t="str">
            <v>P</v>
          </cell>
          <cell r="AI45">
            <v>0</v>
          </cell>
          <cell r="AJ45">
            <v>0</v>
          </cell>
          <cell r="AK45" t="str">
            <v>S</v>
          </cell>
          <cell r="AL45">
            <v>0</v>
          </cell>
          <cell r="AM45">
            <v>0</v>
          </cell>
          <cell r="AN45" t="str">
            <v>P</v>
          </cell>
          <cell r="AO45">
            <v>0</v>
          </cell>
          <cell r="AP45">
            <v>0</v>
          </cell>
          <cell r="AQ45" t="str">
            <v>P</v>
          </cell>
          <cell r="AR45">
            <v>0</v>
          </cell>
          <cell r="AS45">
            <v>0</v>
          </cell>
          <cell r="AT45" t="str">
            <v>P</v>
          </cell>
          <cell r="AU45">
            <v>0</v>
          </cell>
          <cell r="AV45">
            <v>0</v>
          </cell>
          <cell r="AW45" t="str">
            <v>P</v>
          </cell>
          <cell r="AX45">
            <v>0</v>
          </cell>
          <cell r="AY45">
            <v>0</v>
          </cell>
          <cell r="AZ45" t="str">
            <v>P</v>
          </cell>
          <cell r="BA45">
            <v>0</v>
          </cell>
          <cell r="BB45">
            <v>0</v>
          </cell>
          <cell r="BC45" t="str">
            <v>P</v>
          </cell>
          <cell r="BD45">
            <v>0</v>
          </cell>
          <cell r="BE45">
            <v>0</v>
          </cell>
          <cell r="BF45" t="str">
            <v>S</v>
          </cell>
          <cell r="BG45">
            <v>0</v>
          </cell>
          <cell r="BH45">
            <v>0</v>
          </cell>
          <cell r="BI45" t="str">
            <v>P</v>
          </cell>
          <cell r="BJ45">
            <v>0</v>
          </cell>
          <cell r="BK45">
            <v>0</v>
          </cell>
          <cell r="BL45" t="str">
            <v>P</v>
          </cell>
          <cell r="BM45">
            <v>0</v>
          </cell>
          <cell r="BN45">
            <v>0</v>
          </cell>
          <cell r="BO45" t="str">
            <v>P</v>
          </cell>
          <cell r="BP45">
            <v>0</v>
          </cell>
          <cell r="BQ45">
            <v>0</v>
          </cell>
          <cell r="BR45" t="str">
            <v>P</v>
          </cell>
          <cell r="BS45">
            <v>0</v>
          </cell>
          <cell r="BT45">
            <v>0</v>
          </cell>
          <cell r="BU45" t="str">
            <v>P</v>
          </cell>
          <cell r="BV45">
            <v>0</v>
          </cell>
          <cell r="BW45">
            <v>0</v>
          </cell>
          <cell r="BX45" t="str">
            <v>P</v>
          </cell>
          <cell r="BY45">
            <v>0</v>
          </cell>
          <cell r="BZ45">
            <v>0</v>
          </cell>
          <cell r="CA45" t="str">
            <v>S</v>
          </cell>
          <cell r="CB45">
            <v>0</v>
          </cell>
          <cell r="CC45">
            <v>0</v>
          </cell>
          <cell r="CD45" t="str">
            <v>A</v>
          </cell>
          <cell r="CE45">
            <v>0</v>
          </cell>
          <cell r="CF45">
            <v>0</v>
          </cell>
          <cell r="CG45" t="str">
            <v>P</v>
          </cell>
          <cell r="CH45">
            <v>0</v>
          </cell>
          <cell r="CI45">
            <v>0</v>
          </cell>
          <cell r="CJ45" t="str">
            <v>P</v>
          </cell>
          <cell r="CK45">
            <v>0</v>
          </cell>
          <cell r="CL45">
            <v>0</v>
          </cell>
          <cell r="CM45" t="str">
            <v>A</v>
          </cell>
          <cell r="CN45">
            <v>0</v>
          </cell>
          <cell r="CO45">
            <v>0</v>
          </cell>
          <cell r="CP45" t="str">
            <v>P</v>
          </cell>
          <cell r="CQ45">
            <v>0</v>
          </cell>
          <cell r="CR45">
            <v>0</v>
          </cell>
          <cell r="CS45" t="str">
            <v>P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22</v>
          </cell>
          <cell r="DG45">
            <v>0</v>
          </cell>
          <cell r="DH45">
            <v>0</v>
          </cell>
          <cell r="DI45">
            <v>2</v>
          </cell>
          <cell r="DJ45">
            <v>0</v>
          </cell>
          <cell r="DK45">
            <v>0</v>
          </cell>
          <cell r="DL45">
            <v>4</v>
          </cell>
          <cell r="DM45">
            <v>22</v>
          </cell>
          <cell r="DN45">
            <v>28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</row>
        <row r="46">
          <cell r="D46" t="str">
            <v>SHE390</v>
          </cell>
          <cell r="E46">
            <v>0</v>
          </cell>
          <cell r="F46" t="str">
            <v>Direct</v>
          </cell>
          <cell r="G46" t="str">
            <v>Nishaben Ramanbhai Solanki</v>
          </cell>
          <cell r="H46" t="str">
            <v>Direct Labour Wage</v>
          </cell>
          <cell r="I46">
            <v>0</v>
          </cell>
          <cell r="J46" t="str">
            <v>UNIT-2</v>
          </cell>
          <cell r="K46" t="str">
            <v>MV</v>
          </cell>
          <cell r="L46" t="str">
            <v>Assembly</v>
          </cell>
          <cell r="M46" t="str">
            <v>Helper</v>
          </cell>
          <cell r="N46">
            <v>45980</v>
          </cell>
          <cell r="O46">
            <v>0.29315068493150687</v>
          </cell>
          <cell r="P46" t="str">
            <v>S</v>
          </cell>
          <cell r="Q46">
            <v>0</v>
          </cell>
          <cell r="R46">
            <v>0</v>
          </cell>
          <cell r="S46" t="str">
            <v>P</v>
          </cell>
          <cell r="T46">
            <v>0</v>
          </cell>
          <cell r="U46">
            <v>0</v>
          </cell>
          <cell r="V46" t="str">
            <v>P</v>
          </cell>
          <cell r="W46">
            <v>0</v>
          </cell>
          <cell r="X46">
            <v>0</v>
          </cell>
          <cell r="Y46" t="str">
            <v>P</v>
          </cell>
          <cell r="Z46">
            <v>0</v>
          </cell>
          <cell r="AA46">
            <v>0</v>
          </cell>
          <cell r="AB46" t="str">
            <v>P</v>
          </cell>
          <cell r="AC46">
            <v>0</v>
          </cell>
          <cell r="AD46">
            <v>0</v>
          </cell>
          <cell r="AE46" t="str">
            <v>P</v>
          </cell>
          <cell r="AF46">
            <v>0</v>
          </cell>
          <cell r="AG46">
            <v>0</v>
          </cell>
          <cell r="AH46" t="str">
            <v>P</v>
          </cell>
          <cell r="AI46">
            <v>0</v>
          </cell>
          <cell r="AJ46">
            <v>0</v>
          </cell>
          <cell r="AK46" t="str">
            <v>S</v>
          </cell>
          <cell r="AL46">
            <v>0</v>
          </cell>
          <cell r="AM46">
            <v>0</v>
          </cell>
          <cell r="AN46" t="str">
            <v>P</v>
          </cell>
          <cell r="AO46">
            <v>0</v>
          </cell>
          <cell r="AP46">
            <v>0</v>
          </cell>
          <cell r="AQ46" t="str">
            <v>A</v>
          </cell>
          <cell r="AR46">
            <v>0</v>
          </cell>
          <cell r="AS46">
            <v>0</v>
          </cell>
          <cell r="AT46" t="str">
            <v>P</v>
          </cell>
          <cell r="AU46">
            <v>0</v>
          </cell>
          <cell r="AV46">
            <v>0</v>
          </cell>
          <cell r="AW46" t="str">
            <v>P</v>
          </cell>
          <cell r="AX46">
            <v>0</v>
          </cell>
          <cell r="AY46">
            <v>0</v>
          </cell>
          <cell r="AZ46" t="str">
            <v>P</v>
          </cell>
          <cell r="BA46">
            <v>0</v>
          </cell>
          <cell r="BB46">
            <v>0</v>
          </cell>
          <cell r="BC46" t="str">
            <v>P</v>
          </cell>
          <cell r="BD46">
            <v>0</v>
          </cell>
          <cell r="BE46">
            <v>0</v>
          </cell>
          <cell r="BF46" t="str">
            <v>S</v>
          </cell>
          <cell r="BG46">
            <v>0</v>
          </cell>
          <cell r="BH46">
            <v>0</v>
          </cell>
          <cell r="BI46" t="str">
            <v>P</v>
          </cell>
          <cell r="BJ46">
            <v>0</v>
          </cell>
          <cell r="BK46">
            <v>0</v>
          </cell>
          <cell r="BL46" t="str">
            <v>P</v>
          </cell>
          <cell r="BM46">
            <v>0</v>
          </cell>
          <cell r="BN46">
            <v>0</v>
          </cell>
          <cell r="BO46" t="str">
            <v>P</v>
          </cell>
          <cell r="BP46">
            <v>0</v>
          </cell>
          <cell r="BQ46">
            <v>0</v>
          </cell>
          <cell r="BR46" t="str">
            <v>P</v>
          </cell>
          <cell r="BS46">
            <v>0</v>
          </cell>
          <cell r="BT46">
            <v>0</v>
          </cell>
          <cell r="BU46" t="str">
            <v>HD</v>
          </cell>
          <cell r="BV46">
            <v>0</v>
          </cell>
          <cell r="BW46">
            <v>0</v>
          </cell>
          <cell r="BX46" t="str">
            <v>P</v>
          </cell>
          <cell r="BY46">
            <v>0</v>
          </cell>
          <cell r="BZ46">
            <v>0</v>
          </cell>
          <cell r="CA46" t="str">
            <v>S</v>
          </cell>
          <cell r="CB46">
            <v>0</v>
          </cell>
          <cell r="CC46">
            <v>0</v>
          </cell>
          <cell r="CD46" t="str">
            <v>P</v>
          </cell>
          <cell r="CE46">
            <v>0</v>
          </cell>
          <cell r="CF46">
            <v>0</v>
          </cell>
          <cell r="CG46" t="str">
            <v>P</v>
          </cell>
          <cell r="CH46">
            <v>0</v>
          </cell>
          <cell r="CI46">
            <v>0</v>
          </cell>
          <cell r="CJ46" t="str">
            <v>P</v>
          </cell>
          <cell r="CK46">
            <v>0</v>
          </cell>
          <cell r="CL46">
            <v>0</v>
          </cell>
          <cell r="CM46" t="str">
            <v>P</v>
          </cell>
          <cell r="CN46">
            <v>0</v>
          </cell>
          <cell r="CO46">
            <v>0</v>
          </cell>
          <cell r="CP46" t="str">
            <v>P</v>
          </cell>
          <cell r="CQ46">
            <v>0</v>
          </cell>
          <cell r="CR46">
            <v>0</v>
          </cell>
          <cell r="CS46" t="str">
            <v>P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0.5</v>
          </cell>
          <cell r="DF46">
            <v>22.5</v>
          </cell>
          <cell r="DG46">
            <v>0</v>
          </cell>
          <cell r="DH46">
            <v>0</v>
          </cell>
          <cell r="DI46">
            <v>1.5</v>
          </cell>
          <cell r="DJ46">
            <v>0</v>
          </cell>
          <cell r="DK46">
            <v>0</v>
          </cell>
          <cell r="DL46">
            <v>4</v>
          </cell>
          <cell r="DM46">
            <v>22.5</v>
          </cell>
          <cell r="DN46">
            <v>28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</row>
        <row r="47">
          <cell r="D47" t="str">
            <v>SHE391</v>
          </cell>
          <cell r="E47">
            <v>0</v>
          </cell>
          <cell r="F47" t="str">
            <v>Direct</v>
          </cell>
          <cell r="G47" t="str">
            <v>Bhumika Naginbhai Parmar</v>
          </cell>
          <cell r="H47" t="str">
            <v>Direct Labour Wage</v>
          </cell>
          <cell r="I47">
            <v>0</v>
          </cell>
          <cell r="J47" t="str">
            <v>UNIT-2</v>
          </cell>
          <cell r="K47" t="str">
            <v>MV</v>
          </cell>
          <cell r="L47" t="str">
            <v>Assembly</v>
          </cell>
          <cell r="M47" t="str">
            <v>Helper</v>
          </cell>
          <cell r="N47">
            <v>45980</v>
          </cell>
          <cell r="O47">
            <v>0.29315068493150687</v>
          </cell>
          <cell r="P47" t="str">
            <v>A</v>
          </cell>
          <cell r="Q47">
            <v>0</v>
          </cell>
          <cell r="R47">
            <v>0</v>
          </cell>
          <cell r="S47" t="str">
            <v>A</v>
          </cell>
          <cell r="T47">
            <v>0</v>
          </cell>
          <cell r="U47">
            <v>0</v>
          </cell>
          <cell r="V47" t="str">
            <v>A</v>
          </cell>
          <cell r="W47">
            <v>0</v>
          </cell>
          <cell r="X47">
            <v>0</v>
          </cell>
          <cell r="Y47" t="str">
            <v>A</v>
          </cell>
          <cell r="Z47">
            <v>0</v>
          </cell>
          <cell r="AA47">
            <v>0</v>
          </cell>
          <cell r="AB47" t="str">
            <v>A</v>
          </cell>
          <cell r="AC47">
            <v>0</v>
          </cell>
          <cell r="AD47">
            <v>0</v>
          </cell>
          <cell r="AE47" t="str">
            <v>A</v>
          </cell>
          <cell r="AF47">
            <v>0</v>
          </cell>
          <cell r="AG47">
            <v>0</v>
          </cell>
          <cell r="AH47" t="str">
            <v>A</v>
          </cell>
          <cell r="AI47">
            <v>0</v>
          </cell>
          <cell r="AJ47">
            <v>0</v>
          </cell>
          <cell r="AK47" t="str">
            <v>A</v>
          </cell>
          <cell r="AL47">
            <v>0</v>
          </cell>
          <cell r="AM47">
            <v>0</v>
          </cell>
          <cell r="AN47" t="str">
            <v>A</v>
          </cell>
          <cell r="AO47">
            <v>0</v>
          </cell>
          <cell r="AP47">
            <v>0</v>
          </cell>
          <cell r="AQ47" t="str">
            <v>A</v>
          </cell>
          <cell r="AR47">
            <v>0</v>
          </cell>
          <cell r="AS47">
            <v>0</v>
          </cell>
          <cell r="AT47" t="str">
            <v>A</v>
          </cell>
          <cell r="AU47">
            <v>0</v>
          </cell>
          <cell r="AV47">
            <v>0</v>
          </cell>
          <cell r="AW47" t="str">
            <v>A</v>
          </cell>
          <cell r="AX47">
            <v>0</v>
          </cell>
          <cell r="AY47">
            <v>0</v>
          </cell>
          <cell r="AZ47" t="str">
            <v>A</v>
          </cell>
          <cell r="BA47">
            <v>0</v>
          </cell>
          <cell r="BB47">
            <v>0</v>
          </cell>
          <cell r="BC47" t="str">
            <v>A</v>
          </cell>
          <cell r="BD47">
            <v>0</v>
          </cell>
          <cell r="BE47">
            <v>0</v>
          </cell>
          <cell r="BF47" t="str">
            <v>A</v>
          </cell>
          <cell r="BG47">
            <v>0</v>
          </cell>
          <cell r="BH47">
            <v>0</v>
          </cell>
          <cell r="BI47" t="str">
            <v>A</v>
          </cell>
          <cell r="BJ47">
            <v>0</v>
          </cell>
          <cell r="BK47">
            <v>0</v>
          </cell>
          <cell r="BL47" t="str">
            <v>A</v>
          </cell>
          <cell r="BM47">
            <v>0</v>
          </cell>
          <cell r="BN47">
            <v>0</v>
          </cell>
          <cell r="BO47" t="str">
            <v>A</v>
          </cell>
          <cell r="BP47">
            <v>0</v>
          </cell>
          <cell r="BQ47">
            <v>0</v>
          </cell>
          <cell r="BR47" t="str">
            <v>A</v>
          </cell>
          <cell r="BS47">
            <v>0</v>
          </cell>
          <cell r="BT47">
            <v>0</v>
          </cell>
          <cell r="BU47" t="str">
            <v>A</v>
          </cell>
          <cell r="BV47">
            <v>0</v>
          </cell>
          <cell r="BW47">
            <v>0</v>
          </cell>
          <cell r="BX47" t="str">
            <v>A</v>
          </cell>
          <cell r="BY47">
            <v>0</v>
          </cell>
          <cell r="BZ47">
            <v>0</v>
          </cell>
          <cell r="CA47" t="str">
            <v>A</v>
          </cell>
          <cell r="CB47">
            <v>0</v>
          </cell>
          <cell r="CC47">
            <v>0</v>
          </cell>
          <cell r="CD47" t="str">
            <v>A</v>
          </cell>
          <cell r="CE47">
            <v>0</v>
          </cell>
          <cell r="CF47">
            <v>0</v>
          </cell>
          <cell r="CG47" t="str">
            <v>A</v>
          </cell>
          <cell r="CH47">
            <v>0</v>
          </cell>
          <cell r="CI47">
            <v>0</v>
          </cell>
          <cell r="CJ47" t="str">
            <v>A</v>
          </cell>
          <cell r="CK47">
            <v>0</v>
          </cell>
          <cell r="CL47">
            <v>0</v>
          </cell>
          <cell r="CM47" t="str">
            <v>A</v>
          </cell>
          <cell r="CN47">
            <v>0</v>
          </cell>
          <cell r="CO47">
            <v>0</v>
          </cell>
          <cell r="CP47" t="str">
            <v>A</v>
          </cell>
          <cell r="CQ47">
            <v>0</v>
          </cell>
          <cell r="CR47">
            <v>0</v>
          </cell>
          <cell r="CS47" t="str">
            <v>A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28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28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</row>
        <row r="48">
          <cell r="D48" t="str">
            <v>SHE392</v>
          </cell>
          <cell r="E48">
            <v>0</v>
          </cell>
          <cell r="F48" t="str">
            <v>Direct</v>
          </cell>
          <cell r="G48" t="str">
            <v>Kinjalben Arvinbhai Chauhan</v>
          </cell>
          <cell r="H48" t="str">
            <v>Direct Labour Wage</v>
          </cell>
          <cell r="I48">
            <v>0</v>
          </cell>
          <cell r="J48" t="str">
            <v>UNIT-2</v>
          </cell>
          <cell r="K48" t="str">
            <v>MV</v>
          </cell>
          <cell r="L48" t="str">
            <v>Assembly</v>
          </cell>
          <cell r="M48" t="str">
            <v>Helper</v>
          </cell>
          <cell r="N48">
            <v>45980</v>
          </cell>
          <cell r="O48">
            <v>0.29315068493150687</v>
          </cell>
          <cell r="P48" t="str">
            <v>A</v>
          </cell>
          <cell r="Q48">
            <v>0</v>
          </cell>
          <cell r="R48">
            <v>0</v>
          </cell>
          <cell r="S48" t="str">
            <v>A</v>
          </cell>
          <cell r="T48">
            <v>0</v>
          </cell>
          <cell r="U48">
            <v>0</v>
          </cell>
          <cell r="V48" t="str">
            <v>A</v>
          </cell>
          <cell r="W48">
            <v>0</v>
          </cell>
          <cell r="X48">
            <v>0</v>
          </cell>
          <cell r="Y48" t="str">
            <v>A</v>
          </cell>
          <cell r="Z48">
            <v>0</v>
          </cell>
          <cell r="AA48">
            <v>0</v>
          </cell>
          <cell r="AB48" t="str">
            <v>A</v>
          </cell>
          <cell r="AC48">
            <v>0</v>
          </cell>
          <cell r="AD48">
            <v>0</v>
          </cell>
          <cell r="AE48" t="str">
            <v>A</v>
          </cell>
          <cell r="AF48">
            <v>0</v>
          </cell>
          <cell r="AG48">
            <v>0</v>
          </cell>
          <cell r="AH48" t="str">
            <v>A</v>
          </cell>
          <cell r="AI48">
            <v>0</v>
          </cell>
          <cell r="AJ48">
            <v>0</v>
          </cell>
          <cell r="AK48" t="str">
            <v>A</v>
          </cell>
          <cell r="AL48">
            <v>0</v>
          </cell>
          <cell r="AM48">
            <v>0</v>
          </cell>
          <cell r="AN48" t="str">
            <v>A</v>
          </cell>
          <cell r="AO48">
            <v>0</v>
          </cell>
          <cell r="AP48">
            <v>0</v>
          </cell>
          <cell r="AQ48" t="str">
            <v>A</v>
          </cell>
          <cell r="AR48">
            <v>0</v>
          </cell>
          <cell r="AS48">
            <v>0</v>
          </cell>
          <cell r="AT48" t="str">
            <v>A</v>
          </cell>
          <cell r="AU48">
            <v>0</v>
          </cell>
          <cell r="AV48">
            <v>0</v>
          </cell>
          <cell r="AW48" t="str">
            <v>A</v>
          </cell>
          <cell r="AX48">
            <v>0</v>
          </cell>
          <cell r="AY48">
            <v>0</v>
          </cell>
          <cell r="AZ48" t="str">
            <v>A</v>
          </cell>
          <cell r="BA48">
            <v>0</v>
          </cell>
          <cell r="BB48">
            <v>0</v>
          </cell>
          <cell r="BC48" t="str">
            <v>A</v>
          </cell>
          <cell r="BD48">
            <v>0</v>
          </cell>
          <cell r="BE48">
            <v>0</v>
          </cell>
          <cell r="BF48" t="str">
            <v>A</v>
          </cell>
          <cell r="BG48">
            <v>0</v>
          </cell>
          <cell r="BH48">
            <v>0</v>
          </cell>
          <cell r="BI48" t="str">
            <v>A</v>
          </cell>
          <cell r="BJ48">
            <v>0</v>
          </cell>
          <cell r="BK48">
            <v>0</v>
          </cell>
          <cell r="BL48" t="str">
            <v>A</v>
          </cell>
          <cell r="BM48">
            <v>0</v>
          </cell>
          <cell r="BN48">
            <v>0</v>
          </cell>
          <cell r="BO48" t="str">
            <v>A</v>
          </cell>
          <cell r="BP48">
            <v>0</v>
          </cell>
          <cell r="BQ48">
            <v>0</v>
          </cell>
          <cell r="BR48" t="str">
            <v>A</v>
          </cell>
          <cell r="BS48">
            <v>0</v>
          </cell>
          <cell r="BT48">
            <v>0</v>
          </cell>
          <cell r="BU48" t="str">
            <v>A</v>
          </cell>
          <cell r="BV48">
            <v>0</v>
          </cell>
          <cell r="BW48">
            <v>0</v>
          </cell>
          <cell r="BX48" t="str">
            <v>A</v>
          </cell>
          <cell r="BY48">
            <v>0</v>
          </cell>
          <cell r="BZ48">
            <v>0</v>
          </cell>
          <cell r="CA48" t="str">
            <v>A</v>
          </cell>
          <cell r="CB48">
            <v>0</v>
          </cell>
          <cell r="CC48">
            <v>0</v>
          </cell>
          <cell r="CD48" t="str">
            <v>A</v>
          </cell>
          <cell r="CE48">
            <v>0</v>
          </cell>
          <cell r="CF48">
            <v>0</v>
          </cell>
          <cell r="CG48" t="str">
            <v>A</v>
          </cell>
          <cell r="CH48">
            <v>0</v>
          </cell>
          <cell r="CI48">
            <v>0</v>
          </cell>
          <cell r="CJ48" t="str">
            <v>A</v>
          </cell>
          <cell r="CK48">
            <v>0</v>
          </cell>
          <cell r="CL48">
            <v>0</v>
          </cell>
          <cell r="CM48" t="str">
            <v>A</v>
          </cell>
          <cell r="CN48">
            <v>0</v>
          </cell>
          <cell r="CO48">
            <v>0</v>
          </cell>
          <cell r="CP48" t="str">
            <v>A</v>
          </cell>
          <cell r="CQ48">
            <v>0</v>
          </cell>
          <cell r="CR48">
            <v>0</v>
          </cell>
          <cell r="CS48" t="str">
            <v>A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28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28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</row>
        <row r="49">
          <cell r="D49" t="str">
            <v>SHE394</v>
          </cell>
          <cell r="E49">
            <v>0</v>
          </cell>
          <cell r="F49" t="str">
            <v>Direct</v>
          </cell>
          <cell r="G49" t="str">
            <v>Gohil Daxben Tusharsinh</v>
          </cell>
          <cell r="H49" t="str">
            <v>Direct Labour Wage</v>
          </cell>
          <cell r="I49">
            <v>0</v>
          </cell>
          <cell r="J49" t="str">
            <v>UNIT-2</v>
          </cell>
          <cell r="K49" t="str">
            <v>MV</v>
          </cell>
          <cell r="L49" t="str">
            <v>Assembly</v>
          </cell>
          <cell r="M49" t="str">
            <v>Helper</v>
          </cell>
          <cell r="N49">
            <v>45980</v>
          </cell>
          <cell r="O49">
            <v>0.29315068493150687</v>
          </cell>
          <cell r="P49" t="str">
            <v>S</v>
          </cell>
          <cell r="Q49">
            <v>0</v>
          </cell>
          <cell r="R49">
            <v>0</v>
          </cell>
          <cell r="S49" t="str">
            <v>P</v>
          </cell>
          <cell r="T49">
            <v>0</v>
          </cell>
          <cell r="U49">
            <v>0</v>
          </cell>
          <cell r="V49" t="str">
            <v>P</v>
          </cell>
          <cell r="W49">
            <v>0</v>
          </cell>
          <cell r="X49">
            <v>0</v>
          </cell>
          <cell r="Y49" t="str">
            <v>P</v>
          </cell>
          <cell r="Z49">
            <v>0</v>
          </cell>
          <cell r="AA49">
            <v>0</v>
          </cell>
          <cell r="AB49" t="str">
            <v>P</v>
          </cell>
          <cell r="AC49">
            <v>0</v>
          </cell>
          <cell r="AD49">
            <v>0</v>
          </cell>
          <cell r="AE49" t="str">
            <v>P</v>
          </cell>
          <cell r="AF49">
            <v>0</v>
          </cell>
          <cell r="AG49">
            <v>0</v>
          </cell>
          <cell r="AH49" t="str">
            <v>P</v>
          </cell>
          <cell r="AI49">
            <v>0</v>
          </cell>
          <cell r="AJ49">
            <v>0</v>
          </cell>
          <cell r="AK49" t="str">
            <v>S</v>
          </cell>
          <cell r="AL49">
            <v>0</v>
          </cell>
          <cell r="AM49">
            <v>0</v>
          </cell>
          <cell r="AN49" t="str">
            <v>P</v>
          </cell>
          <cell r="AO49">
            <v>0</v>
          </cell>
          <cell r="AP49">
            <v>0</v>
          </cell>
          <cell r="AQ49" t="str">
            <v>P</v>
          </cell>
          <cell r="AR49">
            <v>0</v>
          </cell>
          <cell r="AS49">
            <v>0</v>
          </cell>
          <cell r="AT49" t="str">
            <v>A</v>
          </cell>
          <cell r="AU49">
            <v>0</v>
          </cell>
          <cell r="AV49">
            <v>0</v>
          </cell>
          <cell r="AW49" t="str">
            <v>P</v>
          </cell>
          <cell r="AX49">
            <v>0</v>
          </cell>
          <cell r="AY49">
            <v>0</v>
          </cell>
          <cell r="AZ49" t="str">
            <v>P</v>
          </cell>
          <cell r="BA49">
            <v>0</v>
          </cell>
          <cell r="BB49">
            <v>0</v>
          </cell>
          <cell r="BC49" t="str">
            <v>P</v>
          </cell>
          <cell r="BD49">
            <v>0</v>
          </cell>
          <cell r="BE49">
            <v>0</v>
          </cell>
          <cell r="BF49" t="str">
            <v>S</v>
          </cell>
          <cell r="BG49">
            <v>0</v>
          </cell>
          <cell r="BH49">
            <v>0</v>
          </cell>
          <cell r="BI49" t="str">
            <v>P</v>
          </cell>
          <cell r="BJ49">
            <v>0</v>
          </cell>
          <cell r="BK49">
            <v>0</v>
          </cell>
          <cell r="BL49" t="str">
            <v>P</v>
          </cell>
          <cell r="BM49">
            <v>0</v>
          </cell>
          <cell r="BN49">
            <v>0</v>
          </cell>
          <cell r="BO49" t="str">
            <v>P</v>
          </cell>
          <cell r="BP49">
            <v>0</v>
          </cell>
          <cell r="BQ49">
            <v>0</v>
          </cell>
          <cell r="BR49" t="str">
            <v>HD</v>
          </cell>
          <cell r="BS49">
            <v>0</v>
          </cell>
          <cell r="BT49">
            <v>0</v>
          </cell>
          <cell r="BU49" t="str">
            <v>A</v>
          </cell>
          <cell r="BV49">
            <v>0</v>
          </cell>
          <cell r="BW49">
            <v>0</v>
          </cell>
          <cell r="BX49" t="str">
            <v>A</v>
          </cell>
          <cell r="BY49">
            <v>0</v>
          </cell>
          <cell r="BZ49">
            <v>0</v>
          </cell>
          <cell r="CA49" t="str">
            <v>S</v>
          </cell>
          <cell r="CB49">
            <v>0</v>
          </cell>
          <cell r="CC49">
            <v>0</v>
          </cell>
          <cell r="CD49" t="str">
            <v>P</v>
          </cell>
          <cell r="CE49">
            <v>0</v>
          </cell>
          <cell r="CF49">
            <v>0</v>
          </cell>
          <cell r="CG49" t="str">
            <v>P</v>
          </cell>
          <cell r="CH49">
            <v>0</v>
          </cell>
          <cell r="CI49">
            <v>0</v>
          </cell>
          <cell r="CJ49" t="str">
            <v>P</v>
          </cell>
          <cell r="CK49">
            <v>0</v>
          </cell>
          <cell r="CL49">
            <v>0</v>
          </cell>
          <cell r="CM49" t="str">
            <v>P</v>
          </cell>
          <cell r="CN49">
            <v>0</v>
          </cell>
          <cell r="CO49">
            <v>0</v>
          </cell>
          <cell r="CP49" t="str">
            <v>P</v>
          </cell>
          <cell r="CQ49">
            <v>0</v>
          </cell>
          <cell r="CR49">
            <v>0</v>
          </cell>
          <cell r="CS49" t="str">
            <v>P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0.5</v>
          </cell>
          <cell r="DF49">
            <v>20.5</v>
          </cell>
          <cell r="DG49">
            <v>0</v>
          </cell>
          <cell r="DH49">
            <v>0</v>
          </cell>
          <cell r="DI49">
            <v>3.5</v>
          </cell>
          <cell r="DJ49">
            <v>0</v>
          </cell>
          <cell r="DK49">
            <v>0</v>
          </cell>
          <cell r="DL49">
            <v>4</v>
          </cell>
          <cell r="DM49">
            <v>20.5</v>
          </cell>
          <cell r="DN49">
            <v>28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</row>
        <row r="50">
          <cell r="D50" t="str">
            <v>SHE397</v>
          </cell>
          <cell r="E50">
            <v>0</v>
          </cell>
          <cell r="F50" t="str">
            <v>Direct</v>
          </cell>
          <cell r="G50" t="str">
            <v>Daxben Viralbhai Raval</v>
          </cell>
          <cell r="H50" t="str">
            <v>Direct Labour Wage</v>
          </cell>
          <cell r="I50">
            <v>0</v>
          </cell>
          <cell r="J50" t="str">
            <v>UNIT-2</v>
          </cell>
          <cell r="K50" t="str">
            <v>Bushing</v>
          </cell>
          <cell r="L50" t="str">
            <v>Assembly - 05</v>
          </cell>
          <cell r="M50" t="str">
            <v>Helper</v>
          </cell>
          <cell r="N50">
            <v>45980</v>
          </cell>
          <cell r="O50">
            <v>0.29315068493150687</v>
          </cell>
          <cell r="P50" t="str">
            <v>S</v>
          </cell>
          <cell r="Q50">
            <v>0</v>
          </cell>
          <cell r="R50">
            <v>0</v>
          </cell>
          <cell r="S50" t="str">
            <v>P</v>
          </cell>
          <cell r="T50">
            <v>0</v>
          </cell>
          <cell r="U50">
            <v>0</v>
          </cell>
          <cell r="V50" t="str">
            <v>P</v>
          </cell>
          <cell r="W50">
            <v>0</v>
          </cell>
          <cell r="X50">
            <v>0</v>
          </cell>
          <cell r="Y50" t="str">
            <v>P</v>
          </cell>
          <cell r="Z50">
            <v>0</v>
          </cell>
          <cell r="AA50">
            <v>0</v>
          </cell>
          <cell r="AB50" t="str">
            <v>P</v>
          </cell>
          <cell r="AC50">
            <v>0</v>
          </cell>
          <cell r="AD50">
            <v>0</v>
          </cell>
          <cell r="AE50" t="str">
            <v>P</v>
          </cell>
          <cell r="AF50">
            <v>0</v>
          </cell>
          <cell r="AG50">
            <v>0</v>
          </cell>
          <cell r="AH50" t="str">
            <v>P</v>
          </cell>
          <cell r="AI50">
            <v>0</v>
          </cell>
          <cell r="AJ50">
            <v>0</v>
          </cell>
          <cell r="AK50" t="str">
            <v>S</v>
          </cell>
          <cell r="AL50">
            <v>0</v>
          </cell>
          <cell r="AM50">
            <v>0</v>
          </cell>
          <cell r="AN50" t="str">
            <v>A</v>
          </cell>
          <cell r="AO50">
            <v>0</v>
          </cell>
          <cell r="AP50">
            <v>0</v>
          </cell>
          <cell r="AQ50" t="str">
            <v>P</v>
          </cell>
          <cell r="AR50">
            <v>0</v>
          </cell>
          <cell r="AS50">
            <v>0</v>
          </cell>
          <cell r="AT50" t="str">
            <v>P</v>
          </cell>
          <cell r="AU50">
            <v>0</v>
          </cell>
          <cell r="AV50">
            <v>0</v>
          </cell>
          <cell r="AW50" t="str">
            <v>A</v>
          </cell>
          <cell r="AX50">
            <v>0</v>
          </cell>
          <cell r="AY50">
            <v>0</v>
          </cell>
          <cell r="AZ50" t="str">
            <v>P</v>
          </cell>
          <cell r="BA50">
            <v>0</v>
          </cell>
          <cell r="BB50">
            <v>0</v>
          </cell>
          <cell r="BC50" t="str">
            <v>P</v>
          </cell>
          <cell r="BD50">
            <v>0</v>
          </cell>
          <cell r="BE50">
            <v>0</v>
          </cell>
          <cell r="BF50" t="str">
            <v>S</v>
          </cell>
          <cell r="BG50">
            <v>0</v>
          </cell>
          <cell r="BH50">
            <v>0</v>
          </cell>
          <cell r="BI50" t="str">
            <v>P</v>
          </cell>
          <cell r="BJ50">
            <v>0</v>
          </cell>
          <cell r="BK50">
            <v>0</v>
          </cell>
          <cell r="BL50" t="str">
            <v>P</v>
          </cell>
          <cell r="BM50">
            <v>0</v>
          </cell>
          <cell r="BN50">
            <v>0</v>
          </cell>
          <cell r="BO50" t="str">
            <v>P</v>
          </cell>
          <cell r="BP50">
            <v>0</v>
          </cell>
          <cell r="BQ50">
            <v>0</v>
          </cell>
          <cell r="BR50" t="str">
            <v>P</v>
          </cell>
          <cell r="BS50">
            <v>0</v>
          </cell>
          <cell r="BT50">
            <v>0</v>
          </cell>
          <cell r="BU50" t="str">
            <v>P</v>
          </cell>
          <cell r="BV50">
            <v>0</v>
          </cell>
          <cell r="BW50">
            <v>0</v>
          </cell>
          <cell r="BX50" t="str">
            <v>P</v>
          </cell>
          <cell r="BY50">
            <v>0</v>
          </cell>
          <cell r="BZ50">
            <v>0</v>
          </cell>
          <cell r="CA50" t="str">
            <v>S</v>
          </cell>
          <cell r="CB50">
            <v>0</v>
          </cell>
          <cell r="CC50">
            <v>0</v>
          </cell>
          <cell r="CD50" t="str">
            <v>P</v>
          </cell>
          <cell r="CE50">
            <v>0</v>
          </cell>
          <cell r="CF50">
            <v>0</v>
          </cell>
          <cell r="CG50" t="str">
            <v>P</v>
          </cell>
          <cell r="CH50">
            <v>0</v>
          </cell>
          <cell r="CI50">
            <v>0</v>
          </cell>
          <cell r="CJ50" t="str">
            <v>P</v>
          </cell>
          <cell r="CK50">
            <v>0</v>
          </cell>
          <cell r="CL50">
            <v>0</v>
          </cell>
          <cell r="CM50" t="str">
            <v>P</v>
          </cell>
          <cell r="CN50">
            <v>0</v>
          </cell>
          <cell r="CO50">
            <v>0</v>
          </cell>
          <cell r="CP50" t="str">
            <v>P</v>
          </cell>
          <cell r="CQ50">
            <v>0</v>
          </cell>
          <cell r="CR50">
            <v>0</v>
          </cell>
          <cell r="CS50" t="str">
            <v>P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22</v>
          </cell>
          <cell r="DG50">
            <v>0</v>
          </cell>
          <cell r="DH50">
            <v>0</v>
          </cell>
          <cell r="DI50">
            <v>2</v>
          </cell>
          <cell r="DJ50">
            <v>0</v>
          </cell>
          <cell r="DK50">
            <v>0</v>
          </cell>
          <cell r="DL50">
            <v>4</v>
          </cell>
          <cell r="DM50">
            <v>22</v>
          </cell>
          <cell r="DN50">
            <v>28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</row>
        <row r="51">
          <cell r="D51" t="str">
            <v>SHE398</v>
          </cell>
          <cell r="E51">
            <v>0</v>
          </cell>
          <cell r="F51" t="str">
            <v>Direct</v>
          </cell>
          <cell r="G51" t="str">
            <v>Minakshiben Sureshbhai Jogadekar</v>
          </cell>
          <cell r="H51" t="str">
            <v>Direct Labour Wage</v>
          </cell>
          <cell r="I51">
            <v>0</v>
          </cell>
          <cell r="J51" t="str">
            <v>UNIT-2</v>
          </cell>
          <cell r="K51" t="str">
            <v>Bushing</v>
          </cell>
          <cell r="L51" t="str">
            <v>Assembly - 05</v>
          </cell>
          <cell r="M51" t="str">
            <v>Helper</v>
          </cell>
          <cell r="N51">
            <v>45980</v>
          </cell>
          <cell r="O51">
            <v>0.29315068493150687</v>
          </cell>
          <cell r="P51" t="str">
            <v>S</v>
          </cell>
          <cell r="Q51">
            <v>0</v>
          </cell>
          <cell r="R51">
            <v>0</v>
          </cell>
          <cell r="S51" t="str">
            <v>P</v>
          </cell>
          <cell r="T51">
            <v>0</v>
          </cell>
          <cell r="U51">
            <v>0</v>
          </cell>
          <cell r="V51" t="str">
            <v>P</v>
          </cell>
          <cell r="W51">
            <v>0</v>
          </cell>
          <cell r="X51">
            <v>0</v>
          </cell>
          <cell r="Y51" t="str">
            <v>P</v>
          </cell>
          <cell r="Z51">
            <v>0</v>
          </cell>
          <cell r="AA51">
            <v>0</v>
          </cell>
          <cell r="AB51" t="str">
            <v>P</v>
          </cell>
          <cell r="AC51">
            <v>0</v>
          </cell>
          <cell r="AD51">
            <v>0</v>
          </cell>
          <cell r="AE51" t="str">
            <v>HD</v>
          </cell>
          <cell r="AF51">
            <v>0</v>
          </cell>
          <cell r="AG51">
            <v>0</v>
          </cell>
          <cell r="AH51" t="str">
            <v>A</v>
          </cell>
          <cell r="AI51">
            <v>0</v>
          </cell>
          <cell r="AJ51">
            <v>0</v>
          </cell>
          <cell r="AK51" t="str">
            <v>S</v>
          </cell>
          <cell r="AL51">
            <v>0</v>
          </cell>
          <cell r="AM51">
            <v>0</v>
          </cell>
          <cell r="AN51" t="str">
            <v>A</v>
          </cell>
          <cell r="AO51">
            <v>0</v>
          </cell>
          <cell r="AP51">
            <v>0</v>
          </cell>
          <cell r="AQ51" t="str">
            <v>P</v>
          </cell>
          <cell r="AR51">
            <v>0</v>
          </cell>
          <cell r="AS51">
            <v>0</v>
          </cell>
          <cell r="AT51" t="str">
            <v>P</v>
          </cell>
          <cell r="AU51">
            <v>0</v>
          </cell>
          <cell r="AV51">
            <v>0</v>
          </cell>
          <cell r="AW51" t="str">
            <v>P</v>
          </cell>
          <cell r="AX51">
            <v>0</v>
          </cell>
          <cell r="AY51">
            <v>0</v>
          </cell>
          <cell r="AZ51" t="str">
            <v>P</v>
          </cell>
          <cell r="BA51">
            <v>0</v>
          </cell>
          <cell r="BB51">
            <v>0</v>
          </cell>
          <cell r="BC51" t="str">
            <v>P</v>
          </cell>
          <cell r="BD51">
            <v>0</v>
          </cell>
          <cell r="BE51">
            <v>0</v>
          </cell>
          <cell r="BF51" t="str">
            <v>S</v>
          </cell>
          <cell r="BG51">
            <v>0</v>
          </cell>
          <cell r="BH51">
            <v>0</v>
          </cell>
          <cell r="BI51" t="str">
            <v>P</v>
          </cell>
          <cell r="BJ51">
            <v>0</v>
          </cell>
          <cell r="BK51">
            <v>0</v>
          </cell>
          <cell r="BL51" t="str">
            <v>P</v>
          </cell>
          <cell r="BM51">
            <v>0</v>
          </cell>
          <cell r="BN51">
            <v>0</v>
          </cell>
          <cell r="BO51" t="str">
            <v>P</v>
          </cell>
          <cell r="BP51">
            <v>0</v>
          </cell>
          <cell r="BQ51">
            <v>0</v>
          </cell>
          <cell r="BR51" t="str">
            <v>P</v>
          </cell>
          <cell r="BS51">
            <v>0</v>
          </cell>
          <cell r="BT51">
            <v>0</v>
          </cell>
          <cell r="BU51" t="str">
            <v>P</v>
          </cell>
          <cell r="BV51">
            <v>0</v>
          </cell>
          <cell r="BW51">
            <v>0</v>
          </cell>
          <cell r="BX51" t="str">
            <v>P</v>
          </cell>
          <cell r="BY51">
            <v>0</v>
          </cell>
          <cell r="BZ51">
            <v>0</v>
          </cell>
          <cell r="CA51" t="str">
            <v>S</v>
          </cell>
          <cell r="CB51">
            <v>0</v>
          </cell>
          <cell r="CC51">
            <v>0</v>
          </cell>
          <cell r="CD51" t="str">
            <v>P</v>
          </cell>
          <cell r="CE51">
            <v>0</v>
          </cell>
          <cell r="CF51">
            <v>0</v>
          </cell>
          <cell r="CG51" t="str">
            <v>A</v>
          </cell>
          <cell r="CH51">
            <v>0</v>
          </cell>
          <cell r="CI51">
            <v>0</v>
          </cell>
          <cell r="CJ51" t="str">
            <v>P</v>
          </cell>
          <cell r="CK51">
            <v>0</v>
          </cell>
          <cell r="CL51">
            <v>0</v>
          </cell>
          <cell r="CM51" t="str">
            <v>P</v>
          </cell>
          <cell r="CN51">
            <v>0</v>
          </cell>
          <cell r="CO51">
            <v>0</v>
          </cell>
          <cell r="CP51" t="str">
            <v>P</v>
          </cell>
          <cell r="CQ51">
            <v>0</v>
          </cell>
          <cell r="CR51">
            <v>0</v>
          </cell>
          <cell r="CS51" t="str">
            <v>P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0.5</v>
          </cell>
          <cell r="DF51">
            <v>20.5</v>
          </cell>
          <cell r="DG51">
            <v>0</v>
          </cell>
          <cell r="DH51">
            <v>0</v>
          </cell>
          <cell r="DI51">
            <v>3.5</v>
          </cell>
          <cell r="DJ51">
            <v>0</v>
          </cell>
          <cell r="DK51">
            <v>0</v>
          </cell>
          <cell r="DL51">
            <v>4</v>
          </cell>
          <cell r="DM51">
            <v>20.5</v>
          </cell>
          <cell r="DN51">
            <v>28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</row>
        <row r="52">
          <cell r="D52" t="str">
            <v>SHE401</v>
          </cell>
          <cell r="E52">
            <v>0</v>
          </cell>
          <cell r="F52" t="str">
            <v>Direct</v>
          </cell>
          <cell r="G52" t="str">
            <v>Jogi Heenaben Durganath</v>
          </cell>
          <cell r="H52" t="str">
            <v>Direct Labour Wage</v>
          </cell>
          <cell r="I52">
            <v>0</v>
          </cell>
          <cell r="J52" t="str">
            <v>UNIT-2</v>
          </cell>
          <cell r="K52" t="str">
            <v>Bushing</v>
          </cell>
          <cell r="L52" t="str">
            <v>Assembly - 05</v>
          </cell>
          <cell r="M52" t="str">
            <v>Helper</v>
          </cell>
          <cell r="N52">
            <v>45980</v>
          </cell>
          <cell r="O52">
            <v>0.29315068493150687</v>
          </cell>
          <cell r="P52" t="str">
            <v>S</v>
          </cell>
          <cell r="Q52">
            <v>0</v>
          </cell>
          <cell r="R52">
            <v>0</v>
          </cell>
          <cell r="S52" t="str">
            <v>P</v>
          </cell>
          <cell r="T52">
            <v>0</v>
          </cell>
          <cell r="U52">
            <v>0</v>
          </cell>
          <cell r="V52" t="str">
            <v>P</v>
          </cell>
          <cell r="W52">
            <v>0</v>
          </cell>
          <cell r="X52">
            <v>0</v>
          </cell>
          <cell r="Y52" t="str">
            <v>P</v>
          </cell>
          <cell r="Z52">
            <v>0</v>
          </cell>
          <cell r="AA52">
            <v>0</v>
          </cell>
          <cell r="AB52" t="str">
            <v>P</v>
          </cell>
          <cell r="AC52">
            <v>0</v>
          </cell>
          <cell r="AD52">
            <v>0</v>
          </cell>
          <cell r="AE52" t="str">
            <v>P</v>
          </cell>
          <cell r="AF52">
            <v>0</v>
          </cell>
          <cell r="AG52">
            <v>0</v>
          </cell>
          <cell r="AH52" t="str">
            <v>P</v>
          </cell>
          <cell r="AI52">
            <v>0</v>
          </cell>
          <cell r="AJ52">
            <v>0</v>
          </cell>
          <cell r="AK52" t="str">
            <v>S</v>
          </cell>
          <cell r="AL52">
            <v>0</v>
          </cell>
          <cell r="AM52">
            <v>0</v>
          </cell>
          <cell r="AN52" t="str">
            <v>P</v>
          </cell>
          <cell r="AO52">
            <v>0</v>
          </cell>
          <cell r="AP52">
            <v>0</v>
          </cell>
          <cell r="AQ52" t="str">
            <v>P</v>
          </cell>
          <cell r="AR52">
            <v>0</v>
          </cell>
          <cell r="AS52">
            <v>0</v>
          </cell>
          <cell r="AT52" t="str">
            <v>P</v>
          </cell>
          <cell r="AU52">
            <v>0</v>
          </cell>
          <cell r="AV52">
            <v>0</v>
          </cell>
          <cell r="AW52" t="str">
            <v>P</v>
          </cell>
          <cell r="AX52">
            <v>0</v>
          </cell>
          <cell r="AY52">
            <v>0</v>
          </cell>
          <cell r="AZ52" t="str">
            <v>P</v>
          </cell>
          <cell r="BA52">
            <v>0</v>
          </cell>
          <cell r="BB52">
            <v>0</v>
          </cell>
          <cell r="BC52" t="str">
            <v>A</v>
          </cell>
          <cell r="BD52">
            <v>0</v>
          </cell>
          <cell r="BE52">
            <v>0</v>
          </cell>
          <cell r="BF52" t="str">
            <v>S</v>
          </cell>
          <cell r="BG52">
            <v>0</v>
          </cell>
          <cell r="BH52">
            <v>0</v>
          </cell>
          <cell r="BI52" t="str">
            <v>P</v>
          </cell>
          <cell r="BJ52">
            <v>0</v>
          </cell>
          <cell r="BK52">
            <v>0</v>
          </cell>
          <cell r="BL52" t="str">
            <v>P</v>
          </cell>
          <cell r="BM52">
            <v>0</v>
          </cell>
          <cell r="BN52">
            <v>0</v>
          </cell>
          <cell r="BO52" t="str">
            <v>P</v>
          </cell>
          <cell r="BP52">
            <v>0</v>
          </cell>
          <cell r="BQ52">
            <v>0</v>
          </cell>
          <cell r="BR52" t="str">
            <v>P</v>
          </cell>
          <cell r="BS52">
            <v>0</v>
          </cell>
          <cell r="BT52">
            <v>0</v>
          </cell>
          <cell r="BU52" t="str">
            <v>P</v>
          </cell>
          <cell r="BV52">
            <v>0</v>
          </cell>
          <cell r="BW52">
            <v>0</v>
          </cell>
          <cell r="BX52" t="str">
            <v>P</v>
          </cell>
          <cell r="BY52">
            <v>0</v>
          </cell>
          <cell r="BZ52">
            <v>0</v>
          </cell>
          <cell r="CA52" t="str">
            <v>S</v>
          </cell>
          <cell r="CB52">
            <v>0</v>
          </cell>
          <cell r="CC52">
            <v>0</v>
          </cell>
          <cell r="CD52" t="str">
            <v>P</v>
          </cell>
          <cell r="CE52">
            <v>0</v>
          </cell>
          <cell r="CF52">
            <v>0</v>
          </cell>
          <cell r="CG52" t="str">
            <v>P</v>
          </cell>
          <cell r="CH52">
            <v>0</v>
          </cell>
          <cell r="CI52">
            <v>0</v>
          </cell>
          <cell r="CJ52" t="str">
            <v>P</v>
          </cell>
          <cell r="CK52">
            <v>0</v>
          </cell>
          <cell r="CL52">
            <v>0</v>
          </cell>
          <cell r="CM52" t="str">
            <v>P</v>
          </cell>
          <cell r="CN52">
            <v>0</v>
          </cell>
          <cell r="CO52">
            <v>0</v>
          </cell>
          <cell r="CP52" t="str">
            <v>P</v>
          </cell>
          <cell r="CQ52">
            <v>0</v>
          </cell>
          <cell r="CR52">
            <v>0</v>
          </cell>
          <cell r="CS52" t="str">
            <v>P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23</v>
          </cell>
          <cell r="DG52">
            <v>0</v>
          </cell>
          <cell r="DH52">
            <v>0</v>
          </cell>
          <cell r="DI52">
            <v>1</v>
          </cell>
          <cell r="DJ52">
            <v>0</v>
          </cell>
          <cell r="DK52">
            <v>0</v>
          </cell>
          <cell r="DL52">
            <v>4</v>
          </cell>
          <cell r="DM52">
            <v>23</v>
          </cell>
          <cell r="DN52">
            <v>28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</row>
        <row r="53">
          <cell r="D53" t="str">
            <v>SHE407</v>
          </cell>
          <cell r="E53">
            <v>0</v>
          </cell>
          <cell r="F53" t="str">
            <v>Direct</v>
          </cell>
          <cell r="G53" t="str">
            <v>Balram Ram aadhar</v>
          </cell>
          <cell r="H53" t="str">
            <v>Direct Labour Wage</v>
          </cell>
          <cell r="I53">
            <v>0</v>
          </cell>
          <cell r="J53" t="str">
            <v>UNIT-2</v>
          </cell>
          <cell r="K53" t="str">
            <v>Bushing</v>
          </cell>
          <cell r="L53" t="str">
            <v>Core Insulation</v>
          </cell>
          <cell r="M53" t="str">
            <v>Helper</v>
          </cell>
          <cell r="N53">
            <v>45988</v>
          </cell>
          <cell r="O53">
            <v>0.27123287671232876</v>
          </cell>
          <cell r="P53" t="str">
            <v>S</v>
          </cell>
          <cell r="Q53">
            <v>0</v>
          </cell>
          <cell r="R53">
            <v>5</v>
          </cell>
          <cell r="S53" t="str">
            <v>P</v>
          </cell>
          <cell r="T53">
            <v>0</v>
          </cell>
          <cell r="U53">
            <v>2</v>
          </cell>
          <cell r="V53" t="str">
            <v>P</v>
          </cell>
          <cell r="W53">
            <v>0</v>
          </cell>
          <cell r="X53">
            <v>2</v>
          </cell>
          <cell r="Y53" t="str">
            <v>P</v>
          </cell>
          <cell r="Z53">
            <v>0</v>
          </cell>
          <cell r="AA53">
            <v>1.5</v>
          </cell>
          <cell r="AB53" t="str">
            <v>P</v>
          </cell>
          <cell r="AC53">
            <v>0</v>
          </cell>
          <cell r="AD53">
            <v>1.5</v>
          </cell>
          <cell r="AE53" t="str">
            <v>P</v>
          </cell>
          <cell r="AF53">
            <v>0</v>
          </cell>
          <cell r="AG53">
            <v>2</v>
          </cell>
          <cell r="AH53" t="str">
            <v>P</v>
          </cell>
          <cell r="AI53">
            <v>0</v>
          </cell>
          <cell r="AJ53">
            <v>2</v>
          </cell>
          <cell r="AK53" t="str">
            <v>S</v>
          </cell>
          <cell r="AL53">
            <v>0</v>
          </cell>
          <cell r="AM53">
            <v>0</v>
          </cell>
          <cell r="AN53" t="str">
            <v>P</v>
          </cell>
          <cell r="AO53">
            <v>0</v>
          </cell>
          <cell r="AP53">
            <v>1.5</v>
          </cell>
          <cell r="AQ53" t="str">
            <v>P</v>
          </cell>
          <cell r="AR53">
            <v>0</v>
          </cell>
          <cell r="AS53">
            <v>0</v>
          </cell>
          <cell r="AT53" t="str">
            <v>P</v>
          </cell>
          <cell r="AU53">
            <v>0</v>
          </cell>
          <cell r="AV53">
            <v>2</v>
          </cell>
          <cell r="AW53" t="str">
            <v>P</v>
          </cell>
          <cell r="AX53">
            <v>0</v>
          </cell>
          <cell r="AY53">
            <v>2</v>
          </cell>
          <cell r="AZ53" t="str">
            <v>P</v>
          </cell>
          <cell r="BA53">
            <v>0</v>
          </cell>
          <cell r="BB53">
            <v>2</v>
          </cell>
          <cell r="BC53" t="str">
            <v>P</v>
          </cell>
          <cell r="BD53">
            <v>0</v>
          </cell>
          <cell r="BE53">
            <v>2</v>
          </cell>
          <cell r="BF53" t="str">
            <v>S</v>
          </cell>
          <cell r="BG53">
            <v>0</v>
          </cell>
          <cell r="BH53">
            <v>5.5</v>
          </cell>
          <cell r="BI53" t="str">
            <v>P</v>
          </cell>
          <cell r="BJ53">
            <v>0</v>
          </cell>
          <cell r="BK53">
            <v>2</v>
          </cell>
          <cell r="BL53" t="str">
            <v>P</v>
          </cell>
          <cell r="BM53">
            <v>0</v>
          </cell>
          <cell r="BN53">
            <v>2</v>
          </cell>
          <cell r="BO53" t="str">
            <v>P</v>
          </cell>
          <cell r="BP53">
            <v>0</v>
          </cell>
          <cell r="BQ53">
            <v>2.5</v>
          </cell>
          <cell r="BR53" t="str">
            <v>P</v>
          </cell>
          <cell r="BS53">
            <v>0</v>
          </cell>
          <cell r="BT53">
            <v>2</v>
          </cell>
          <cell r="BU53" t="str">
            <v>P</v>
          </cell>
          <cell r="BV53">
            <v>0</v>
          </cell>
          <cell r="BW53">
            <v>2</v>
          </cell>
          <cell r="BX53" t="str">
            <v>P</v>
          </cell>
          <cell r="BY53">
            <v>0</v>
          </cell>
          <cell r="BZ53">
            <v>2</v>
          </cell>
          <cell r="CA53" t="str">
            <v>S</v>
          </cell>
          <cell r="CB53">
            <v>0</v>
          </cell>
          <cell r="CC53">
            <v>5.5</v>
          </cell>
          <cell r="CD53" t="str">
            <v>P</v>
          </cell>
          <cell r="CE53">
            <v>0</v>
          </cell>
          <cell r="CF53">
            <v>2</v>
          </cell>
          <cell r="CG53" t="str">
            <v>P</v>
          </cell>
          <cell r="CH53">
            <v>0</v>
          </cell>
          <cell r="CI53">
            <v>2</v>
          </cell>
          <cell r="CJ53" t="str">
            <v>P</v>
          </cell>
          <cell r="CK53">
            <v>0</v>
          </cell>
          <cell r="CL53">
            <v>2</v>
          </cell>
          <cell r="CM53" t="str">
            <v>P</v>
          </cell>
          <cell r="CN53">
            <v>0</v>
          </cell>
          <cell r="CO53">
            <v>2</v>
          </cell>
          <cell r="CP53" t="str">
            <v>P</v>
          </cell>
          <cell r="CQ53">
            <v>0</v>
          </cell>
          <cell r="CR53">
            <v>2</v>
          </cell>
          <cell r="CS53" t="str">
            <v>P</v>
          </cell>
          <cell r="CT53">
            <v>0</v>
          </cell>
          <cell r="CU53">
            <v>2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24</v>
          </cell>
          <cell r="DG53">
            <v>0</v>
          </cell>
          <cell r="DH53">
            <v>61</v>
          </cell>
          <cell r="DI53">
            <v>0</v>
          </cell>
          <cell r="DJ53">
            <v>0</v>
          </cell>
          <cell r="DK53">
            <v>0</v>
          </cell>
          <cell r="DL53">
            <v>4</v>
          </cell>
          <cell r="DM53">
            <v>24</v>
          </cell>
          <cell r="DN53">
            <v>28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</row>
        <row r="54">
          <cell r="D54" t="str">
            <v>CFCP0611</v>
          </cell>
          <cell r="E54">
            <v>0</v>
          </cell>
          <cell r="F54" t="str">
            <v>Direct</v>
          </cell>
          <cell r="G54" t="str">
            <v>Rahulkumar Suresh Kumar</v>
          </cell>
          <cell r="H54" t="str">
            <v>Direct Labour Wage</v>
          </cell>
          <cell r="I54">
            <v>0</v>
          </cell>
          <cell r="J54" t="str">
            <v>UNIT-2</v>
          </cell>
          <cell r="K54" t="str">
            <v>GIS</v>
          </cell>
          <cell r="L54" t="str">
            <v>Winding</v>
          </cell>
          <cell r="M54" t="str">
            <v>Operator</v>
          </cell>
          <cell r="N54">
            <v>44775</v>
          </cell>
          <cell r="O54">
            <v>3.5945205479452054</v>
          </cell>
          <cell r="P54" t="str">
            <v>S</v>
          </cell>
          <cell r="Q54">
            <v>0</v>
          </cell>
          <cell r="R54">
            <v>0</v>
          </cell>
          <cell r="S54" t="str">
            <v>T</v>
          </cell>
          <cell r="T54">
            <v>0</v>
          </cell>
          <cell r="U54">
            <v>0</v>
          </cell>
          <cell r="V54" t="str">
            <v>T</v>
          </cell>
          <cell r="W54">
            <v>0</v>
          </cell>
          <cell r="X54">
            <v>0</v>
          </cell>
          <cell r="Y54" t="str">
            <v>T</v>
          </cell>
          <cell r="Z54">
            <v>0</v>
          </cell>
          <cell r="AA54">
            <v>0</v>
          </cell>
          <cell r="AB54" t="str">
            <v>T</v>
          </cell>
          <cell r="AC54">
            <v>0</v>
          </cell>
          <cell r="AD54">
            <v>0</v>
          </cell>
          <cell r="AE54" t="str">
            <v>T</v>
          </cell>
          <cell r="AF54">
            <v>0</v>
          </cell>
          <cell r="AG54">
            <v>0</v>
          </cell>
          <cell r="AH54" t="str">
            <v>T</v>
          </cell>
          <cell r="AI54">
            <v>0</v>
          </cell>
          <cell r="AJ54">
            <v>0</v>
          </cell>
          <cell r="AK54" t="str">
            <v>S</v>
          </cell>
          <cell r="AL54">
            <v>0</v>
          </cell>
          <cell r="AM54">
            <v>0</v>
          </cell>
          <cell r="AN54" t="str">
            <v>P</v>
          </cell>
          <cell r="AO54">
            <v>0</v>
          </cell>
          <cell r="AP54">
            <v>0</v>
          </cell>
          <cell r="AQ54" t="str">
            <v>P</v>
          </cell>
          <cell r="AR54">
            <v>0</v>
          </cell>
          <cell r="AS54">
            <v>0</v>
          </cell>
          <cell r="AT54" t="str">
            <v>P</v>
          </cell>
          <cell r="AU54">
            <v>0</v>
          </cell>
          <cell r="AV54">
            <v>0</v>
          </cell>
          <cell r="AW54" t="str">
            <v>P</v>
          </cell>
          <cell r="AX54">
            <v>0</v>
          </cell>
          <cell r="AY54">
            <v>0</v>
          </cell>
          <cell r="AZ54" t="str">
            <v>T</v>
          </cell>
          <cell r="BA54">
            <v>0</v>
          </cell>
          <cell r="BB54">
            <v>0</v>
          </cell>
          <cell r="BC54" t="str">
            <v>T</v>
          </cell>
          <cell r="BD54">
            <v>0</v>
          </cell>
          <cell r="BE54">
            <v>0</v>
          </cell>
          <cell r="BF54" t="str">
            <v>S</v>
          </cell>
          <cell r="BG54">
            <v>0</v>
          </cell>
          <cell r="BH54">
            <v>0</v>
          </cell>
          <cell r="BI54" t="str">
            <v>T</v>
          </cell>
          <cell r="BJ54">
            <v>0</v>
          </cell>
          <cell r="BK54">
            <v>0</v>
          </cell>
          <cell r="BL54" t="str">
            <v>P</v>
          </cell>
          <cell r="BM54">
            <v>0</v>
          </cell>
          <cell r="BN54">
            <v>2</v>
          </cell>
          <cell r="BO54" t="str">
            <v>T</v>
          </cell>
          <cell r="BP54">
            <v>0</v>
          </cell>
          <cell r="BQ54">
            <v>0</v>
          </cell>
          <cell r="BR54" t="str">
            <v>A</v>
          </cell>
          <cell r="BS54">
            <v>0</v>
          </cell>
          <cell r="BT54">
            <v>0</v>
          </cell>
          <cell r="BU54" t="str">
            <v>T</v>
          </cell>
          <cell r="BV54">
            <v>0</v>
          </cell>
          <cell r="BW54">
            <v>0</v>
          </cell>
          <cell r="BX54" t="str">
            <v>T</v>
          </cell>
          <cell r="BY54">
            <v>0</v>
          </cell>
          <cell r="BZ54">
            <v>0</v>
          </cell>
          <cell r="CA54" t="str">
            <v>S</v>
          </cell>
          <cell r="CB54">
            <v>0</v>
          </cell>
          <cell r="CC54">
            <v>0</v>
          </cell>
          <cell r="CD54" t="str">
            <v>T</v>
          </cell>
          <cell r="CE54">
            <v>0</v>
          </cell>
          <cell r="CF54">
            <v>0</v>
          </cell>
          <cell r="CG54" t="str">
            <v>T</v>
          </cell>
          <cell r="CH54">
            <v>0</v>
          </cell>
          <cell r="CI54">
            <v>0</v>
          </cell>
          <cell r="CJ54" t="str">
            <v>T</v>
          </cell>
          <cell r="CK54">
            <v>0</v>
          </cell>
          <cell r="CL54">
            <v>0</v>
          </cell>
          <cell r="CM54" t="str">
            <v>T</v>
          </cell>
          <cell r="CN54">
            <v>0</v>
          </cell>
          <cell r="CO54">
            <v>0</v>
          </cell>
          <cell r="CP54" t="str">
            <v>P</v>
          </cell>
          <cell r="CQ54">
            <v>0</v>
          </cell>
          <cell r="CR54">
            <v>2.5</v>
          </cell>
          <cell r="CS54" t="str">
            <v>T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6</v>
          </cell>
          <cell r="DG54">
            <v>0</v>
          </cell>
          <cell r="DH54">
            <v>4.5</v>
          </cell>
          <cell r="DI54">
            <v>1</v>
          </cell>
          <cell r="DJ54">
            <v>0</v>
          </cell>
          <cell r="DK54">
            <v>0</v>
          </cell>
          <cell r="DL54">
            <v>4</v>
          </cell>
          <cell r="DM54">
            <v>6</v>
          </cell>
          <cell r="DN54">
            <v>28</v>
          </cell>
          <cell r="DO54">
            <v>17</v>
          </cell>
          <cell r="DP54">
            <v>0</v>
          </cell>
          <cell r="DQ54">
            <v>0</v>
          </cell>
          <cell r="DR54">
            <v>0</v>
          </cell>
        </row>
        <row r="55">
          <cell r="D55" t="str">
            <v>SHE410</v>
          </cell>
          <cell r="E55">
            <v>0</v>
          </cell>
          <cell r="F55" t="str">
            <v>Direct</v>
          </cell>
          <cell r="G55" t="str">
            <v>Mali Rashmikaben Rajubhai</v>
          </cell>
          <cell r="H55" t="str">
            <v>Direct Labour Wage</v>
          </cell>
          <cell r="I55">
            <v>0</v>
          </cell>
          <cell r="J55" t="str">
            <v>UNIT-2</v>
          </cell>
          <cell r="K55" t="str">
            <v>Bushing</v>
          </cell>
          <cell r="L55" t="str">
            <v>Assembly - 05</v>
          </cell>
          <cell r="M55" t="str">
            <v>Helper</v>
          </cell>
          <cell r="N55">
            <v>45994</v>
          </cell>
          <cell r="O55">
            <v>0.25479452054794521</v>
          </cell>
          <cell r="P55" t="str">
            <v>S</v>
          </cell>
          <cell r="Q55">
            <v>0</v>
          </cell>
          <cell r="R55">
            <v>0</v>
          </cell>
          <cell r="S55" t="str">
            <v>P</v>
          </cell>
          <cell r="T55">
            <v>0</v>
          </cell>
          <cell r="U55">
            <v>0</v>
          </cell>
          <cell r="V55" t="str">
            <v>A</v>
          </cell>
          <cell r="W55">
            <v>0</v>
          </cell>
          <cell r="X55">
            <v>0</v>
          </cell>
          <cell r="Y55" t="str">
            <v>P</v>
          </cell>
          <cell r="Z55">
            <v>0</v>
          </cell>
          <cell r="AA55">
            <v>0</v>
          </cell>
          <cell r="AB55" t="str">
            <v>P</v>
          </cell>
          <cell r="AC55">
            <v>0</v>
          </cell>
          <cell r="AD55">
            <v>0</v>
          </cell>
          <cell r="AE55" t="str">
            <v>P</v>
          </cell>
          <cell r="AF55">
            <v>0</v>
          </cell>
          <cell r="AG55">
            <v>0</v>
          </cell>
          <cell r="AH55" t="str">
            <v>A</v>
          </cell>
          <cell r="AI55">
            <v>0</v>
          </cell>
          <cell r="AJ55">
            <v>0</v>
          </cell>
          <cell r="AK55" t="str">
            <v>S</v>
          </cell>
          <cell r="AL55">
            <v>0</v>
          </cell>
          <cell r="AM55">
            <v>0</v>
          </cell>
          <cell r="AN55" t="str">
            <v>P</v>
          </cell>
          <cell r="AO55">
            <v>0</v>
          </cell>
          <cell r="AP55">
            <v>0</v>
          </cell>
          <cell r="AQ55" t="str">
            <v>P</v>
          </cell>
          <cell r="AR55">
            <v>0</v>
          </cell>
          <cell r="AS55">
            <v>0</v>
          </cell>
          <cell r="AT55" t="str">
            <v>P</v>
          </cell>
          <cell r="AU55">
            <v>0</v>
          </cell>
          <cell r="AV55">
            <v>0</v>
          </cell>
          <cell r="AW55" t="str">
            <v>A</v>
          </cell>
          <cell r="AX55">
            <v>0</v>
          </cell>
          <cell r="AY55">
            <v>0</v>
          </cell>
          <cell r="AZ55" t="str">
            <v>A</v>
          </cell>
          <cell r="BA55">
            <v>0</v>
          </cell>
          <cell r="BB55">
            <v>0</v>
          </cell>
          <cell r="BC55" t="str">
            <v>P</v>
          </cell>
          <cell r="BD55">
            <v>0</v>
          </cell>
          <cell r="BE55">
            <v>0</v>
          </cell>
          <cell r="BF55" t="str">
            <v>S</v>
          </cell>
          <cell r="BG55">
            <v>0</v>
          </cell>
          <cell r="BH55">
            <v>0</v>
          </cell>
          <cell r="BI55" t="str">
            <v>P</v>
          </cell>
          <cell r="BJ55">
            <v>0</v>
          </cell>
          <cell r="BK55">
            <v>0</v>
          </cell>
          <cell r="BL55" t="str">
            <v>P</v>
          </cell>
          <cell r="BM55">
            <v>0</v>
          </cell>
          <cell r="BN55">
            <v>0</v>
          </cell>
          <cell r="BO55" t="str">
            <v>P</v>
          </cell>
          <cell r="BP55">
            <v>0</v>
          </cell>
          <cell r="BQ55">
            <v>0</v>
          </cell>
          <cell r="BR55" t="str">
            <v>P</v>
          </cell>
          <cell r="BS55">
            <v>0</v>
          </cell>
          <cell r="BT55">
            <v>0</v>
          </cell>
          <cell r="BU55" t="str">
            <v>P</v>
          </cell>
          <cell r="BV55">
            <v>0</v>
          </cell>
          <cell r="BW55">
            <v>0</v>
          </cell>
          <cell r="BX55" t="str">
            <v>P</v>
          </cell>
          <cell r="BY55">
            <v>0</v>
          </cell>
          <cell r="BZ55">
            <v>0</v>
          </cell>
          <cell r="CA55" t="str">
            <v>S</v>
          </cell>
          <cell r="CB55">
            <v>0</v>
          </cell>
          <cell r="CC55">
            <v>0</v>
          </cell>
          <cell r="CD55" t="str">
            <v>HD</v>
          </cell>
          <cell r="CE55">
            <v>0</v>
          </cell>
          <cell r="CF55">
            <v>0</v>
          </cell>
          <cell r="CG55" t="str">
            <v>A</v>
          </cell>
          <cell r="CH55">
            <v>0</v>
          </cell>
          <cell r="CI55">
            <v>0</v>
          </cell>
          <cell r="CJ55" t="str">
            <v>A</v>
          </cell>
          <cell r="CK55">
            <v>0</v>
          </cell>
          <cell r="CL55">
            <v>0</v>
          </cell>
          <cell r="CM55" t="str">
            <v>A</v>
          </cell>
          <cell r="CN55">
            <v>0</v>
          </cell>
          <cell r="CO55">
            <v>0</v>
          </cell>
          <cell r="CP55" t="str">
            <v>P</v>
          </cell>
          <cell r="CQ55">
            <v>0</v>
          </cell>
          <cell r="CR55">
            <v>0</v>
          </cell>
          <cell r="CS55" t="str">
            <v>P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0.5</v>
          </cell>
          <cell r="DF55">
            <v>16.5</v>
          </cell>
          <cell r="DG55">
            <v>0</v>
          </cell>
          <cell r="DH55">
            <v>0</v>
          </cell>
          <cell r="DI55">
            <v>7.5</v>
          </cell>
          <cell r="DJ55">
            <v>0</v>
          </cell>
          <cell r="DK55">
            <v>0</v>
          </cell>
          <cell r="DL55">
            <v>4</v>
          </cell>
          <cell r="DM55">
            <v>16.5</v>
          </cell>
          <cell r="DN55">
            <v>28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</row>
        <row r="56">
          <cell r="D56" t="str">
            <v>SHE411</v>
          </cell>
          <cell r="E56">
            <v>0</v>
          </cell>
          <cell r="F56" t="str">
            <v>Direct</v>
          </cell>
          <cell r="G56" t="str">
            <v>Snehalben Kishorsinh Vaghela</v>
          </cell>
          <cell r="H56" t="str">
            <v>Direct Labour Wage</v>
          </cell>
          <cell r="I56">
            <v>0</v>
          </cell>
          <cell r="J56" t="str">
            <v>UNIT-2</v>
          </cell>
          <cell r="K56" t="str">
            <v>Bushing</v>
          </cell>
          <cell r="L56" t="str">
            <v>Assembly - 05</v>
          </cell>
          <cell r="M56" t="str">
            <v>Helper</v>
          </cell>
          <cell r="N56">
            <v>45994</v>
          </cell>
          <cell r="O56">
            <v>0.25479452054794521</v>
          </cell>
          <cell r="P56" t="str">
            <v>S</v>
          </cell>
          <cell r="Q56">
            <v>0</v>
          </cell>
          <cell r="R56">
            <v>0</v>
          </cell>
          <cell r="S56" t="str">
            <v>A</v>
          </cell>
          <cell r="T56">
            <v>0</v>
          </cell>
          <cell r="U56">
            <v>0</v>
          </cell>
          <cell r="V56" t="str">
            <v>P</v>
          </cell>
          <cell r="W56">
            <v>0</v>
          </cell>
          <cell r="X56">
            <v>0</v>
          </cell>
          <cell r="Y56" t="str">
            <v>P</v>
          </cell>
          <cell r="Z56">
            <v>0</v>
          </cell>
          <cell r="AA56">
            <v>0</v>
          </cell>
          <cell r="AB56" t="str">
            <v>P</v>
          </cell>
          <cell r="AC56">
            <v>0</v>
          </cell>
          <cell r="AD56">
            <v>0</v>
          </cell>
          <cell r="AE56" t="str">
            <v>P</v>
          </cell>
          <cell r="AF56">
            <v>0</v>
          </cell>
          <cell r="AG56">
            <v>0</v>
          </cell>
          <cell r="AH56" t="str">
            <v>P</v>
          </cell>
          <cell r="AI56">
            <v>0</v>
          </cell>
          <cell r="AJ56">
            <v>0</v>
          </cell>
          <cell r="AK56" t="str">
            <v>S</v>
          </cell>
          <cell r="AL56">
            <v>0</v>
          </cell>
          <cell r="AM56">
            <v>0</v>
          </cell>
          <cell r="AN56" t="str">
            <v>P</v>
          </cell>
          <cell r="AO56">
            <v>0</v>
          </cell>
          <cell r="AP56">
            <v>0</v>
          </cell>
          <cell r="AQ56" t="str">
            <v>P</v>
          </cell>
          <cell r="AR56">
            <v>0</v>
          </cell>
          <cell r="AS56">
            <v>0</v>
          </cell>
          <cell r="AT56" t="str">
            <v>P</v>
          </cell>
          <cell r="AU56">
            <v>0</v>
          </cell>
          <cell r="AV56">
            <v>0</v>
          </cell>
          <cell r="AW56" t="str">
            <v>A</v>
          </cell>
          <cell r="AX56">
            <v>0</v>
          </cell>
          <cell r="AY56">
            <v>0</v>
          </cell>
          <cell r="AZ56" t="str">
            <v>P</v>
          </cell>
          <cell r="BA56">
            <v>0</v>
          </cell>
          <cell r="BB56">
            <v>0</v>
          </cell>
          <cell r="BC56" t="str">
            <v>P</v>
          </cell>
          <cell r="BD56">
            <v>0</v>
          </cell>
          <cell r="BE56">
            <v>0</v>
          </cell>
          <cell r="BF56" t="str">
            <v>S</v>
          </cell>
          <cell r="BG56">
            <v>0</v>
          </cell>
          <cell r="BH56">
            <v>0</v>
          </cell>
          <cell r="BI56" t="str">
            <v>P</v>
          </cell>
          <cell r="BJ56">
            <v>0</v>
          </cell>
          <cell r="BK56">
            <v>0</v>
          </cell>
          <cell r="BL56" t="str">
            <v>P</v>
          </cell>
          <cell r="BM56">
            <v>0</v>
          </cell>
          <cell r="BN56">
            <v>0</v>
          </cell>
          <cell r="BO56" t="str">
            <v>P</v>
          </cell>
          <cell r="BP56">
            <v>0</v>
          </cell>
          <cell r="BQ56">
            <v>0</v>
          </cell>
          <cell r="BR56" t="str">
            <v>P</v>
          </cell>
          <cell r="BS56">
            <v>0</v>
          </cell>
          <cell r="BT56">
            <v>0</v>
          </cell>
          <cell r="BU56" t="str">
            <v>P</v>
          </cell>
          <cell r="BV56">
            <v>0</v>
          </cell>
          <cell r="BW56">
            <v>0</v>
          </cell>
          <cell r="BX56" t="str">
            <v>P</v>
          </cell>
          <cell r="BY56">
            <v>0</v>
          </cell>
          <cell r="BZ56">
            <v>0</v>
          </cell>
          <cell r="CA56" t="str">
            <v>S</v>
          </cell>
          <cell r="CB56">
            <v>0</v>
          </cell>
          <cell r="CC56">
            <v>0</v>
          </cell>
          <cell r="CD56" t="str">
            <v>P</v>
          </cell>
          <cell r="CE56">
            <v>0</v>
          </cell>
          <cell r="CF56">
            <v>0</v>
          </cell>
          <cell r="CG56" t="str">
            <v>P</v>
          </cell>
          <cell r="CH56">
            <v>0</v>
          </cell>
          <cell r="CI56">
            <v>0</v>
          </cell>
          <cell r="CJ56" t="str">
            <v>P</v>
          </cell>
          <cell r="CK56">
            <v>0</v>
          </cell>
          <cell r="CL56">
            <v>0</v>
          </cell>
          <cell r="CM56" t="str">
            <v>P</v>
          </cell>
          <cell r="CN56">
            <v>0</v>
          </cell>
          <cell r="CO56">
            <v>0</v>
          </cell>
          <cell r="CP56" t="str">
            <v>P</v>
          </cell>
          <cell r="CQ56">
            <v>0</v>
          </cell>
          <cell r="CR56">
            <v>0</v>
          </cell>
          <cell r="CS56" t="str">
            <v>P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22</v>
          </cell>
          <cell r="DG56">
            <v>0</v>
          </cell>
          <cell r="DH56">
            <v>0</v>
          </cell>
          <cell r="DI56">
            <v>2</v>
          </cell>
          <cell r="DJ56">
            <v>0</v>
          </cell>
          <cell r="DK56">
            <v>0</v>
          </cell>
          <cell r="DL56">
            <v>4</v>
          </cell>
          <cell r="DM56">
            <v>22</v>
          </cell>
          <cell r="DN56">
            <v>28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</row>
        <row r="57">
          <cell r="D57" t="str">
            <v>NUC1014</v>
          </cell>
          <cell r="E57">
            <v>0</v>
          </cell>
          <cell r="F57">
            <v>0</v>
          </cell>
          <cell r="G57" t="str">
            <v>Ranjan lal Chandrapal</v>
          </cell>
          <cell r="H57" t="str">
            <v>Direct Labour Wage</v>
          </cell>
          <cell r="I57">
            <v>0</v>
          </cell>
          <cell r="J57" t="str">
            <v>UNIT-2</v>
          </cell>
          <cell r="K57" t="str">
            <v>MV</v>
          </cell>
          <cell r="L57" t="str">
            <v>Casting</v>
          </cell>
          <cell r="M57" t="str">
            <v>Helper</v>
          </cell>
          <cell r="N57">
            <v>45673</v>
          </cell>
          <cell r="O57">
            <v>1.1342465753424658</v>
          </cell>
          <cell r="P57" t="str">
            <v>S</v>
          </cell>
          <cell r="Q57">
            <v>0</v>
          </cell>
          <cell r="R57">
            <v>4</v>
          </cell>
          <cell r="S57" t="str">
            <v>T</v>
          </cell>
          <cell r="T57">
            <v>0</v>
          </cell>
          <cell r="U57">
            <v>0</v>
          </cell>
          <cell r="V57" t="str">
            <v>T</v>
          </cell>
          <cell r="W57">
            <v>0</v>
          </cell>
          <cell r="X57">
            <v>0</v>
          </cell>
          <cell r="Y57" t="str">
            <v>T</v>
          </cell>
          <cell r="Z57">
            <v>0</v>
          </cell>
          <cell r="AA57">
            <v>0</v>
          </cell>
          <cell r="AB57" t="str">
            <v>T</v>
          </cell>
          <cell r="AC57">
            <v>0</v>
          </cell>
          <cell r="AD57">
            <v>0</v>
          </cell>
          <cell r="AE57" t="str">
            <v>T</v>
          </cell>
          <cell r="AF57">
            <v>0</v>
          </cell>
          <cell r="AG57">
            <v>0</v>
          </cell>
          <cell r="AH57" t="str">
            <v>T</v>
          </cell>
          <cell r="AI57">
            <v>0</v>
          </cell>
          <cell r="AJ57">
            <v>0</v>
          </cell>
          <cell r="AK57" t="str">
            <v>S</v>
          </cell>
          <cell r="AL57">
            <v>0</v>
          </cell>
          <cell r="AM57">
            <v>0</v>
          </cell>
          <cell r="AN57" t="str">
            <v>T</v>
          </cell>
          <cell r="AO57">
            <v>0</v>
          </cell>
          <cell r="AP57">
            <v>0</v>
          </cell>
          <cell r="AQ57" t="str">
            <v>T</v>
          </cell>
          <cell r="AR57">
            <v>0</v>
          </cell>
          <cell r="AS57">
            <v>0</v>
          </cell>
          <cell r="AT57" t="str">
            <v>T</v>
          </cell>
          <cell r="AU57">
            <v>0</v>
          </cell>
          <cell r="AV57">
            <v>0</v>
          </cell>
          <cell r="AW57" t="str">
            <v>T</v>
          </cell>
          <cell r="AX57">
            <v>0</v>
          </cell>
          <cell r="AY57">
            <v>0</v>
          </cell>
          <cell r="AZ57" t="str">
            <v>T</v>
          </cell>
          <cell r="BA57">
            <v>0</v>
          </cell>
          <cell r="BB57">
            <v>0</v>
          </cell>
          <cell r="BC57" t="str">
            <v>T</v>
          </cell>
          <cell r="BD57">
            <v>0</v>
          </cell>
          <cell r="BE57">
            <v>0</v>
          </cell>
          <cell r="BF57" t="str">
            <v>S</v>
          </cell>
          <cell r="BG57">
            <v>0</v>
          </cell>
          <cell r="BH57">
            <v>4.5</v>
          </cell>
          <cell r="BI57" t="str">
            <v>T</v>
          </cell>
          <cell r="BJ57">
            <v>0</v>
          </cell>
          <cell r="BK57">
            <v>0</v>
          </cell>
          <cell r="BL57" t="str">
            <v>T</v>
          </cell>
          <cell r="BM57">
            <v>0</v>
          </cell>
          <cell r="BN57">
            <v>0</v>
          </cell>
          <cell r="BO57" t="str">
            <v>T</v>
          </cell>
          <cell r="BP57">
            <v>0</v>
          </cell>
          <cell r="BQ57">
            <v>0</v>
          </cell>
          <cell r="BR57" t="str">
            <v>T</v>
          </cell>
          <cell r="BS57">
            <v>0</v>
          </cell>
          <cell r="BT57">
            <v>0</v>
          </cell>
          <cell r="BU57" t="str">
            <v>T</v>
          </cell>
          <cell r="BV57">
            <v>0</v>
          </cell>
          <cell r="BW57">
            <v>0</v>
          </cell>
          <cell r="BX57" t="str">
            <v>T</v>
          </cell>
          <cell r="BY57">
            <v>0</v>
          </cell>
          <cell r="BZ57">
            <v>0</v>
          </cell>
          <cell r="CA57" t="str">
            <v>S</v>
          </cell>
          <cell r="CB57">
            <v>0</v>
          </cell>
          <cell r="CC57">
            <v>5</v>
          </cell>
          <cell r="CD57" t="str">
            <v>T</v>
          </cell>
          <cell r="CE57">
            <v>0</v>
          </cell>
          <cell r="CF57">
            <v>0</v>
          </cell>
          <cell r="CG57" t="str">
            <v>T</v>
          </cell>
          <cell r="CH57">
            <v>0</v>
          </cell>
          <cell r="CI57">
            <v>0</v>
          </cell>
          <cell r="CJ57" t="str">
            <v>T</v>
          </cell>
          <cell r="CK57">
            <v>0</v>
          </cell>
          <cell r="CL57">
            <v>0</v>
          </cell>
          <cell r="CM57" t="str">
            <v>T</v>
          </cell>
          <cell r="CN57">
            <v>0</v>
          </cell>
          <cell r="CO57">
            <v>0</v>
          </cell>
          <cell r="CP57" t="str">
            <v>T</v>
          </cell>
          <cell r="CQ57">
            <v>0</v>
          </cell>
          <cell r="CR57">
            <v>0</v>
          </cell>
          <cell r="CS57" t="str">
            <v>T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13.5</v>
          </cell>
          <cell r="DI57">
            <v>0</v>
          </cell>
          <cell r="DJ57">
            <v>0</v>
          </cell>
          <cell r="DK57">
            <v>0</v>
          </cell>
          <cell r="DL57">
            <v>4</v>
          </cell>
          <cell r="DM57">
            <v>0</v>
          </cell>
          <cell r="DN57">
            <v>28</v>
          </cell>
          <cell r="DO57">
            <v>24</v>
          </cell>
          <cell r="DP57">
            <v>0</v>
          </cell>
          <cell r="DQ57">
            <v>0</v>
          </cell>
          <cell r="DR57">
            <v>600</v>
          </cell>
        </row>
        <row r="58">
          <cell r="D58" t="str">
            <v>NUC1013</v>
          </cell>
          <cell r="E58">
            <v>0</v>
          </cell>
          <cell r="F58">
            <v>0</v>
          </cell>
          <cell r="G58" t="str">
            <v>Gautam Shukhraj</v>
          </cell>
          <cell r="H58" t="str">
            <v>Direct Labour Wage</v>
          </cell>
          <cell r="I58">
            <v>0</v>
          </cell>
          <cell r="J58" t="str">
            <v>UNIT-2</v>
          </cell>
          <cell r="K58" t="str">
            <v>MV</v>
          </cell>
          <cell r="L58" t="str">
            <v>Casting</v>
          </cell>
          <cell r="M58" t="str">
            <v>Helper</v>
          </cell>
          <cell r="N58">
            <v>45673</v>
          </cell>
          <cell r="O58">
            <v>1.1342465753424658</v>
          </cell>
          <cell r="P58" t="str">
            <v>S</v>
          </cell>
          <cell r="Q58">
            <v>0</v>
          </cell>
          <cell r="R58">
            <v>4</v>
          </cell>
          <cell r="S58" t="str">
            <v>T</v>
          </cell>
          <cell r="T58">
            <v>0</v>
          </cell>
          <cell r="U58">
            <v>0</v>
          </cell>
          <cell r="V58" t="str">
            <v>T</v>
          </cell>
          <cell r="W58">
            <v>0</v>
          </cell>
          <cell r="X58">
            <v>0</v>
          </cell>
          <cell r="Y58" t="str">
            <v>T</v>
          </cell>
          <cell r="Z58">
            <v>0</v>
          </cell>
          <cell r="AA58">
            <v>0</v>
          </cell>
          <cell r="AB58" t="str">
            <v>T</v>
          </cell>
          <cell r="AC58">
            <v>0</v>
          </cell>
          <cell r="AD58">
            <v>0</v>
          </cell>
          <cell r="AE58" t="str">
            <v>T</v>
          </cell>
          <cell r="AF58">
            <v>0</v>
          </cell>
          <cell r="AG58">
            <v>0</v>
          </cell>
          <cell r="AH58" t="str">
            <v>T</v>
          </cell>
          <cell r="AI58">
            <v>0</v>
          </cell>
          <cell r="AJ58">
            <v>0</v>
          </cell>
          <cell r="AK58" t="str">
            <v>S</v>
          </cell>
          <cell r="AL58">
            <v>0</v>
          </cell>
          <cell r="AM58">
            <v>0</v>
          </cell>
          <cell r="AN58" t="str">
            <v>T</v>
          </cell>
          <cell r="AO58">
            <v>0</v>
          </cell>
          <cell r="AP58">
            <v>0</v>
          </cell>
          <cell r="AQ58" t="str">
            <v>T</v>
          </cell>
          <cell r="AR58">
            <v>0</v>
          </cell>
          <cell r="AS58">
            <v>0</v>
          </cell>
          <cell r="AT58" t="str">
            <v>T</v>
          </cell>
          <cell r="AU58">
            <v>0</v>
          </cell>
          <cell r="AV58">
            <v>0</v>
          </cell>
          <cell r="AW58" t="str">
            <v>T</v>
          </cell>
          <cell r="AX58">
            <v>0</v>
          </cell>
          <cell r="AY58">
            <v>0</v>
          </cell>
          <cell r="AZ58" t="str">
            <v>T</v>
          </cell>
          <cell r="BA58">
            <v>0</v>
          </cell>
          <cell r="BB58">
            <v>0</v>
          </cell>
          <cell r="BC58" t="str">
            <v>T</v>
          </cell>
          <cell r="BD58">
            <v>0</v>
          </cell>
          <cell r="BE58">
            <v>0</v>
          </cell>
          <cell r="BF58" t="str">
            <v>S</v>
          </cell>
          <cell r="BG58">
            <v>0</v>
          </cell>
          <cell r="BH58">
            <v>4.5</v>
          </cell>
          <cell r="BI58" t="str">
            <v>T</v>
          </cell>
          <cell r="BJ58">
            <v>0</v>
          </cell>
          <cell r="BK58">
            <v>0</v>
          </cell>
          <cell r="BL58" t="str">
            <v>T</v>
          </cell>
          <cell r="BM58">
            <v>0</v>
          </cell>
          <cell r="BN58">
            <v>0</v>
          </cell>
          <cell r="BO58" t="str">
            <v>T</v>
          </cell>
          <cell r="BP58">
            <v>0</v>
          </cell>
          <cell r="BQ58">
            <v>0</v>
          </cell>
          <cell r="BR58" t="str">
            <v>T</v>
          </cell>
          <cell r="BS58">
            <v>0</v>
          </cell>
          <cell r="BT58">
            <v>0</v>
          </cell>
          <cell r="BU58" t="str">
            <v>T</v>
          </cell>
          <cell r="BV58">
            <v>0</v>
          </cell>
          <cell r="BW58">
            <v>0</v>
          </cell>
          <cell r="BX58" t="str">
            <v>T</v>
          </cell>
          <cell r="BY58">
            <v>0</v>
          </cell>
          <cell r="BZ58">
            <v>0</v>
          </cell>
          <cell r="CA58" t="str">
            <v>S</v>
          </cell>
          <cell r="CB58">
            <v>0</v>
          </cell>
          <cell r="CC58">
            <v>5</v>
          </cell>
          <cell r="CD58" t="str">
            <v>T</v>
          </cell>
          <cell r="CE58">
            <v>0</v>
          </cell>
          <cell r="CF58">
            <v>0</v>
          </cell>
          <cell r="CG58" t="str">
            <v>T</v>
          </cell>
          <cell r="CH58">
            <v>0</v>
          </cell>
          <cell r="CI58">
            <v>0</v>
          </cell>
          <cell r="CJ58" t="str">
            <v>T</v>
          </cell>
          <cell r="CK58">
            <v>0</v>
          </cell>
          <cell r="CL58">
            <v>0</v>
          </cell>
          <cell r="CM58" t="str">
            <v>T</v>
          </cell>
          <cell r="CN58">
            <v>0</v>
          </cell>
          <cell r="CO58">
            <v>0</v>
          </cell>
          <cell r="CP58" t="str">
            <v>T</v>
          </cell>
          <cell r="CQ58">
            <v>0</v>
          </cell>
          <cell r="CR58">
            <v>0</v>
          </cell>
          <cell r="CS58" t="str">
            <v>T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13.5</v>
          </cell>
          <cell r="DI58">
            <v>0</v>
          </cell>
          <cell r="DJ58">
            <v>0</v>
          </cell>
          <cell r="DK58">
            <v>0</v>
          </cell>
          <cell r="DL58">
            <v>4</v>
          </cell>
          <cell r="DM58">
            <v>0</v>
          </cell>
          <cell r="DN58">
            <v>28</v>
          </cell>
          <cell r="DO58">
            <v>24</v>
          </cell>
          <cell r="DP58">
            <v>0</v>
          </cell>
          <cell r="DQ58">
            <v>0</v>
          </cell>
          <cell r="DR58">
            <v>200</v>
          </cell>
        </row>
        <row r="59">
          <cell r="D59" t="str">
            <v>NPIA0403</v>
          </cell>
          <cell r="E59">
            <v>0</v>
          </cell>
          <cell r="F59">
            <v>0</v>
          </cell>
          <cell r="G59" t="str">
            <v>RAHUL HARIRAM KUMAR</v>
          </cell>
          <cell r="H59" t="str">
            <v>Direct Labour Wage</v>
          </cell>
          <cell r="I59">
            <v>0</v>
          </cell>
          <cell r="J59" t="str">
            <v>UNIT-2</v>
          </cell>
          <cell r="K59" t="str">
            <v>Bushing</v>
          </cell>
          <cell r="L59" t="str">
            <v>Assembly - 01</v>
          </cell>
          <cell r="M59" t="str">
            <v>Helper</v>
          </cell>
          <cell r="N59">
            <v>43038</v>
          </cell>
          <cell r="O59">
            <v>8.3534246575342461</v>
          </cell>
          <cell r="P59" t="str">
            <v>S</v>
          </cell>
          <cell r="Q59">
            <v>0</v>
          </cell>
          <cell r="R59">
            <v>4</v>
          </cell>
          <cell r="S59" t="str">
            <v>T</v>
          </cell>
          <cell r="T59">
            <v>0</v>
          </cell>
          <cell r="U59">
            <v>0</v>
          </cell>
          <cell r="V59" t="str">
            <v>T</v>
          </cell>
          <cell r="W59">
            <v>0</v>
          </cell>
          <cell r="X59">
            <v>0</v>
          </cell>
          <cell r="Y59" t="str">
            <v>T</v>
          </cell>
          <cell r="Z59">
            <v>0</v>
          </cell>
          <cell r="AA59">
            <v>0</v>
          </cell>
          <cell r="AB59" t="str">
            <v>P</v>
          </cell>
          <cell r="AC59">
            <v>0</v>
          </cell>
          <cell r="AD59">
            <v>0</v>
          </cell>
          <cell r="AE59" t="str">
            <v>T</v>
          </cell>
          <cell r="AF59">
            <v>0</v>
          </cell>
          <cell r="AG59">
            <v>0</v>
          </cell>
          <cell r="AH59" t="str">
            <v>T</v>
          </cell>
          <cell r="AI59">
            <v>0</v>
          </cell>
          <cell r="AJ59">
            <v>0</v>
          </cell>
          <cell r="AK59" t="str">
            <v>S</v>
          </cell>
          <cell r="AL59">
            <v>0</v>
          </cell>
          <cell r="AM59">
            <v>0</v>
          </cell>
          <cell r="AN59" t="str">
            <v>T</v>
          </cell>
          <cell r="AO59">
            <v>0</v>
          </cell>
          <cell r="AP59">
            <v>0</v>
          </cell>
          <cell r="AQ59" t="str">
            <v>T</v>
          </cell>
          <cell r="AR59">
            <v>0</v>
          </cell>
          <cell r="AS59">
            <v>0</v>
          </cell>
          <cell r="AT59" t="str">
            <v>T</v>
          </cell>
          <cell r="AU59">
            <v>0</v>
          </cell>
          <cell r="AV59">
            <v>0</v>
          </cell>
          <cell r="AW59" t="str">
            <v>T</v>
          </cell>
          <cell r="AX59">
            <v>0</v>
          </cell>
          <cell r="AY59">
            <v>0</v>
          </cell>
          <cell r="AZ59" t="str">
            <v>T</v>
          </cell>
          <cell r="BA59">
            <v>0</v>
          </cell>
          <cell r="BB59">
            <v>0</v>
          </cell>
          <cell r="BC59" t="str">
            <v>T</v>
          </cell>
          <cell r="BD59">
            <v>0</v>
          </cell>
          <cell r="BE59">
            <v>0</v>
          </cell>
          <cell r="BF59" t="str">
            <v>T</v>
          </cell>
          <cell r="BG59">
            <v>0</v>
          </cell>
          <cell r="BH59">
            <v>0</v>
          </cell>
          <cell r="BI59" t="str">
            <v>T</v>
          </cell>
          <cell r="BJ59">
            <v>0</v>
          </cell>
          <cell r="BK59">
            <v>0</v>
          </cell>
          <cell r="BL59" t="str">
            <v>T</v>
          </cell>
          <cell r="BM59">
            <v>0</v>
          </cell>
          <cell r="BN59">
            <v>0</v>
          </cell>
          <cell r="BO59" t="str">
            <v>T</v>
          </cell>
          <cell r="BP59">
            <v>0</v>
          </cell>
          <cell r="BQ59">
            <v>0</v>
          </cell>
          <cell r="BR59" t="str">
            <v>T</v>
          </cell>
          <cell r="BS59">
            <v>0</v>
          </cell>
          <cell r="BT59">
            <v>0</v>
          </cell>
          <cell r="BU59" t="str">
            <v>T</v>
          </cell>
          <cell r="BV59">
            <v>0</v>
          </cell>
          <cell r="BW59">
            <v>0</v>
          </cell>
          <cell r="BX59" t="str">
            <v>T</v>
          </cell>
          <cell r="BY59">
            <v>0</v>
          </cell>
          <cell r="BZ59">
            <v>0</v>
          </cell>
          <cell r="CA59" t="str">
            <v>T</v>
          </cell>
          <cell r="CB59">
            <v>0</v>
          </cell>
          <cell r="CC59">
            <v>0</v>
          </cell>
          <cell r="CD59" t="str">
            <v>T</v>
          </cell>
          <cell r="CE59">
            <v>0</v>
          </cell>
          <cell r="CF59">
            <v>0</v>
          </cell>
          <cell r="CG59" t="str">
            <v>T</v>
          </cell>
          <cell r="CH59">
            <v>0</v>
          </cell>
          <cell r="CI59">
            <v>0</v>
          </cell>
          <cell r="CJ59" t="str">
            <v>T</v>
          </cell>
          <cell r="CK59">
            <v>0</v>
          </cell>
          <cell r="CL59">
            <v>0</v>
          </cell>
          <cell r="CM59" t="str">
            <v>T</v>
          </cell>
          <cell r="CN59">
            <v>0</v>
          </cell>
          <cell r="CO59">
            <v>0</v>
          </cell>
          <cell r="CP59" t="str">
            <v>T</v>
          </cell>
          <cell r="CQ59">
            <v>0</v>
          </cell>
          <cell r="CR59">
            <v>0</v>
          </cell>
          <cell r="CS59" t="str">
            <v>T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1</v>
          </cell>
          <cell r="DG59">
            <v>0</v>
          </cell>
          <cell r="DH59">
            <v>4</v>
          </cell>
          <cell r="DI59">
            <v>0</v>
          </cell>
          <cell r="DJ59">
            <v>0</v>
          </cell>
          <cell r="DK59">
            <v>0</v>
          </cell>
          <cell r="DL59">
            <v>2</v>
          </cell>
          <cell r="DM59">
            <v>1</v>
          </cell>
          <cell r="DN59">
            <v>28</v>
          </cell>
          <cell r="DO59">
            <v>25</v>
          </cell>
          <cell r="DP59">
            <v>0</v>
          </cell>
          <cell r="DQ59">
            <v>0</v>
          </cell>
          <cell r="DR59">
            <v>200</v>
          </cell>
        </row>
        <row r="60">
          <cell r="D60" t="str">
            <v>NUC0057</v>
          </cell>
          <cell r="E60">
            <v>0</v>
          </cell>
          <cell r="F60">
            <v>0</v>
          </cell>
          <cell r="G60" t="str">
            <v>Bharat Lal Deshraj</v>
          </cell>
          <cell r="H60" t="str">
            <v>Direct Labour Wage</v>
          </cell>
          <cell r="I60">
            <v>0</v>
          </cell>
          <cell r="J60" t="str">
            <v>UNIT-2</v>
          </cell>
          <cell r="K60" t="str">
            <v>MV</v>
          </cell>
          <cell r="L60" t="str">
            <v>Assembly - 01</v>
          </cell>
          <cell r="M60" t="str">
            <v>Helper</v>
          </cell>
          <cell r="N60">
            <v>44095</v>
          </cell>
          <cell r="O60">
            <v>5.4575342465753423</v>
          </cell>
          <cell r="P60" t="str">
            <v>S</v>
          </cell>
          <cell r="Q60">
            <v>0</v>
          </cell>
          <cell r="R60">
            <v>0</v>
          </cell>
          <cell r="S60" t="str">
            <v>T</v>
          </cell>
          <cell r="T60">
            <v>0</v>
          </cell>
          <cell r="U60">
            <v>0</v>
          </cell>
          <cell r="V60" t="str">
            <v>T</v>
          </cell>
          <cell r="W60">
            <v>0</v>
          </cell>
          <cell r="X60">
            <v>0</v>
          </cell>
          <cell r="Y60" t="str">
            <v>T</v>
          </cell>
          <cell r="Z60">
            <v>0</v>
          </cell>
          <cell r="AA60">
            <v>0</v>
          </cell>
          <cell r="AB60" t="str">
            <v>T</v>
          </cell>
          <cell r="AC60">
            <v>0</v>
          </cell>
          <cell r="AD60">
            <v>0</v>
          </cell>
          <cell r="AE60" t="str">
            <v>T</v>
          </cell>
          <cell r="AF60">
            <v>0</v>
          </cell>
          <cell r="AG60">
            <v>0</v>
          </cell>
          <cell r="AH60" t="str">
            <v>T</v>
          </cell>
          <cell r="AI60">
            <v>0</v>
          </cell>
          <cell r="AJ60">
            <v>0</v>
          </cell>
          <cell r="AK60" t="str">
            <v>S</v>
          </cell>
          <cell r="AL60">
            <v>0</v>
          </cell>
          <cell r="AM60">
            <v>0</v>
          </cell>
          <cell r="AN60" t="str">
            <v>T</v>
          </cell>
          <cell r="AO60">
            <v>0</v>
          </cell>
          <cell r="AP60">
            <v>0</v>
          </cell>
          <cell r="AQ60" t="str">
            <v>T</v>
          </cell>
          <cell r="AR60">
            <v>0</v>
          </cell>
          <cell r="AS60">
            <v>0</v>
          </cell>
          <cell r="AT60" t="str">
            <v>T</v>
          </cell>
          <cell r="AU60">
            <v>0</v>
          </cell>
          <cell r="AV60">
            <v>0</v>
          </cell>
          <cell r="AW60" t="str">
            <v>T</v>
          </cell>
          <cell r="AX60">
            <v>0</v>
          </cell>
          <cell r="AY60">
            <v>0</v>
          </cell>
          <cell r="AZ60" t="str">
            <v>T</v>
          </cell>
          <cell r="BA60">
            <v>0</v>
          </cell>
          <cell r="BB60">
            <v>0</v>
          </cell>
          <cell r="BC60" t="str">
            <v>T</v>
          </cell>
          <cell r="BD60">
            <v>0</v>
          </cell>
          <cell r="BE60">
            <v>0</v>
          </cell>
          <cell r="BF60" t="str">
            <v>S</v>
          </cell>
          <cell r="BG60">
            <v>0</v>
          </cell>
          <cell r="BH60">
            <v>0</v>
          </cell>
          <cell r="BI60" t="str">
            <v>T</v>
          </cell>
          <cell r="BJ60">
            <v>0</v>
          </cell>
          <cell r="BK60">
            <v>0</v>
          </cell>
          <cell r="BL60" t="str">
            <v>T</v>
          </cell>
          <cell r="BM60">
            <v>0</v>
          </cell>
          <cell r="BN60">
            <v>0</v>
          </cell>
          <cell r="BO60" t="str">
            <v>T</v>
          </cell>
          <cell r="BP60">
            <v>0</v>
          </cell>
          <cell r="BQ60">
            <v>0</v>
          </cell>
          <cell r="BR60" t="str">
            <v>T</v>
          </cell>
          <cell r="BS60">
            <v>0</v>
          </cell>
          <cell r="BT60">
            <v>0</v>
          </cell>
          <cell r="BU60" t="str">
            <v>T</v>
          </cell>
          <cell r="BV60">
            <v>0</v>
          </cell>
          <cell r="BW60">
            <v>0</v>
          </cell>
          <cell r="BX60" t="str">
            <v>T</v>
          </cell>
          <cell r="BY60">
            <v>0</v>
          </cell>
          <cell r="BZ60">
            <v>0</v>
          </cell>
          <cell r="CA60" t="str">
            <v>S</v>
          </cell>
          <cell r="CB60">
            <v>0</v>
          </cell>
          <cell r="CC60">
            <v>0</v>
          </cell>
          <cell r="CD60" t="str">
            <v>T</v>
          </cell>
          <cell r="CE60">
            <v>0</v>
          </cell>
          <cell r="CF60">
            <v>0</v>
          </cell>
          <cell r="CG60" t="str">
            <v>T</v>
          </cell>
          <cell r="CH60">
            <v>0</v>
          </cell>
          <cell r="CI60">
            <v>0</v>
          </cell>
          <cell r="CJ60" t="str">
            <v>T</v>
          </cell>
          <cell r="CK60">
            <v>0</v>
          </cell>
          <cell r="CL60">
            <v>0</v>
          </cell>
          <cell r="CM60" t="str">
            <v>T</v>
          </cell>
          <cell r="CN60">
            <v>0</v>
          </cell>
          <cell r="CO60">
            <v>0</v>
          </cell>
          <cell r="CP60" t="str">
            <v>T</v>
          </cell>
          <cell r="CQ60">
            <v>0</v>
          </cell>
          <cell r="CR60">
            <v>0</v>
          </cell>
          <cell r="CS60" t="str">
            <v>T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4</v>
          </cell>
          <cell r="DM60">
            <v>0</v>
          </cell>
          <cell r="DN60">
            <v>28</v>
          </cell>
          <cell r="DO60">
            <v>24</v>
          </cell>
          <cell r="DP60">
            <v>0</v>
          </cell>
          <cell r="DQ60">
            <v>0</v>
          </cell>
          <cell r="DR60">
            <v>0</v>
          </cell>
        </row>
        <row r="61">
          <cell r="D61" t="str">
            <v>NUC1004</v>
          </cell>
          <cell r="E61">
            <v>0</v>
          </cell>
          <cell r="F61">
            <v>0</v>
          </cell>
          <cell r="G61" t="str">
            <v>Amit Balram</v>
          </cell>
          <cell r="H61" t="str">
            <v>Direct Labour Wage</v>
          </cell>
          <cell r="I61">
            <v>0</v>
          </cell>
          <cell r="J61" t="str">
            <v>UNIT-2</v>
          </cell>
          <cell r="K61" t="str">
            <v>GIS</v>
          </cell>
          <cell r="L61" t="str">
            <v>Assembly - 01</v>
          </cell>
          <cell r="M61" t="str">
            <v>Helper</v>
          </cell>
          <cell r="N61">
            <v>45660</v>
          </cell>
          <cell r="O61">
            <v>1.1698630136986301</v>
          </cell>
          <cell r="P61" t="str">
            <v>S</v>
          </cell>
          <cell r="Q61">
            <v>0</v>
          </cell>
          <cell r="R61">
            <v>0</v>
          </cell>
          <cell r="S61" t="str">
            <v>P</v>
          </cell>
          <cell r="T61">
            <v>0</v>
          </cell>
          <cell r="U61">
            <v>0</v>
          </cell>
          <cell r="V61" t="str">
            <v>P</v>
          </cell>
          <cell r="W61">
            <v>0</v>
          </cell>
          <cell r="X61">
            <v>0</v>
          </cell>
          <cell r="Y61" t="str">
            <v>P</v>
          </cell>
          <cell r="Z61">
            <v>0</v>
          </cell>
          <cell r="AA61">
            <v>0</v>
          </cell>
          <cell r="AB61" t="str">
            <v>P</v>
          </cell>
          <cell r="AC61">
            <v>0</v>
          </cell>
          <cell r="AD61">
            <v>0</v>
          </cell>
          <cell r="AE61" t="str">
            <v>P</v>
          </cell>
          <cell r="AF61">
            <v>0</v>
          </cell>
          <cell r="AG61">
            <v>0</v>
          </cell>
          <cell r="AH61" t="str">
            <v>P</v>
          </cell>
          <cell r="AI61">
            <v>0</v>
          </cell>
          <cell r="AJ61">
            <v>0</v>
          </cell>
          <cell r="AK61" t="str">
            <v>S</v>
          </cell>
          <cell r="AL61">
            <v>0</v>
          </cell>
          <cell r="AM61">
            <v>0</v>
          </cell>
          <cell r="AN61" t="str">
            <v>P</v>
          </cell>
          <cell r="AO61">
            <v>0</v>
          </cell>
          <cell r="AP61">
            <v>0</v>
          </cell>
          <cell r="AQ61" t="str">
            <v>P</v>
          </cell>
          <cell r="AR61">
            <v>0</v>
          </cell>
          <cell r="AS61">
            <v>0</v>
          </cell>
          <cell r="AT61" t="str">
            <v>P</v>
          </cell>
          <cell r="AU61">
            <v>0</v>
          </cell>
          <cell r="AV61">
            <v>0</v>
          </cell>
          <cell r="AW61" t="str">
            <v>P</v>
          </cell>
          <cell r="AX61">
            <v>0</v>
          </cell>
          <cell r="AY61">
            <v>0</v>
          </cell>
          <cell r="AZ61" t="str">
            <v>P</v>
          </cell>
          <cell r="BA61">
            <v>0</v>
          </cell>
          <cell r="BB61">
            <v>0</v>
          </cell>
          <cell r="BC61" t="str">
            <v>P</v>
          </cell>
          <cell r="BD61">
            <v>0</v>
          </cell>
          <cell r="BE61">
            <v>0</v>
          </cell>
          <cell r="BF61" t="str">
            <v>S</v>
          </cell>
          <cell r="BG61">
            <v>0</v>
          </cell>
          <cell r="BH61">
            <v>0</v>
          </cell>
          <cell r="BI61" t="str">
            <v>P</v>
          </cell>
          <cell r="BJ61">
            <v>0</v>
          </cell>
          <cell r="BK61">
            <v>0</v>
          </cell>
          <cell r="BL61" t="str">
            <v>P</v>
          </cell>
          <cell r="BM61">
            <v>0</v>
          </cell>
          <cell r="BN61">
            <v>0</v>
          </cell>
          <cell r="BO61" t="str">
            <v>P</v>
          </cell>
          <cell r="BP61">
            <v>0</v>
          </cell>
          <cell r="BQ61">
            <v>0</v>
          </cell>
          <cell r="BR61" t="str">
            <v>P</v>
          </cell>
          <cell r="BS61">
            <v>0</v>
          </cell>
          <cell r="BT61">
            <v>0</v>
          </cell>
          <cell r="BU61" t="str">
            <v>P</v>
          </cell>
          <cell r="BV61">
            <v>0</v>
          </cell>
          <cell r="BW61">
            <v>0</v>
          </cell>
          <cell r="BX61" t="str">
            <v>P</v>
          </cell>
          <cell r="BY61">
            <v>0</v>
          </cell>
          <cell r="BZ61">
            <v>2</v>
          </cell>
          <cell r="CA61" t="str">
            <v>S</v>
          </cell>
          <cell r="CB61">
            <v>0</v>
          </cell>
          <cell r="CC61">
            <v>0</v>
          </cell>
          <cell r="CD61" t="str">
            <v>P</v>
          </cell>
          <cell r="CE61">
            <v>0</v>
          </cell>
          <cell r="CF61">
            <v>0</v>
          </cell>
          <cell r="CG61" t="str">
            <v>P</v>
          </cell>
          <cell r="CH61">
            <v>0</v>
          </cell>
          <cell r="CI61">
            <v>2</v>
          </cell>
          <cell r="CJ61" t="str">
            <v>P</v>
          </cell>
          <cell r="CK61">
            <v>0</v>
          </cell>
          <cell r="CL61">
            <v>6</v>
          </cell>
          <cell r="CM61" t="str">
            <v>P</v>
          </cell>
          <cell r="CN61">
            <v>0</v>
          </cell>
          <cell r="CO61">
            <v>8</v>
          </cell>
          <cell r="CP61" t="str">
            <v>P</v>
          </cell>
          <cell r="CQ61">
            <v>0</v>
          </cell>
          <cell r="CR61">
            <v>0</v>
          </cell>
          <cell r="CS61" t="str">
            <v>P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24</v>
          </cell>
          <cell r="DG61">
            <v>0</v>
          </cell>
          <cell r="DH61">
            <v>18</v>
          </cell>
          <cell r="DI61">
            <v>0</v>
          </cell>
          <cell r="DJ61">
            <v>0</v>
          </cell>
          <cell r="DK61">
            <v>0</v>
          </cell>
          <cell r="DL61">
            <v>4</v>
          </cell>
          <cell r="DM61">
            <v>24</v>
          </cell>
          <cell r="DN61">
            <v>28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</row>
        <row r="62">
          <cell r="D62" t="str">
            <v>NUC0035</v>
          </cell>
          <cell r="E62">
            <v>0</v>
          </cell>
          <cell r="F62">
            <v>0</v>
          </cell>
          <cell r="G62" t="str">
            <v>Ram Adesh Ram Lakhan</v>
          </cell>
          <cell r="H62" t="str">
            <v>Direct Labour Wage</v>
          </cell>
          <cell r="I62">
            <v>0</v>
          </cell>
          <cell r="J62" t="str">
            <v>UNIT-2</v>
          </cell>
          <cell r="K62" t="str">
            <v>MV</v>
          </cell>
          <cell r="L62" t="str">
            <v>Assembly - 01</v>
          </cell>
          <cell r="M62" t="str">
            <v>Helper</v>
          </cell>
          <cell r="N62">
            <v>44189</v>
          </cell>
          <cell r="O62">
            <v>5.2</v>
          </cell>
          <cell r="P62" t="str">
            <v>S</v>
          </cell>
          <cell r="Q62">
            <v>0</v>
          </cell>
          <cell r="R62">
            <v>0</v>
          </cell>
          <cell r="S62" t="str">
            <v>T</v>
          </cell>
          <cell r="T62">
            <v>0</v>
          </cell>
          <cell r="U62">
            <v>0</v>
          </cell>
          <cell r="V62" t="str">
            <v>T</v>
          </cell>
          <cell r="W62">
            <v>0</v>
          </cell>
          <cell r="X62">
            <v>0</v>
          </cell>
          <cell r="Y62" t="str">
            <v>T</v>
          </cell>
          <cell r="Z62">
            <v>0</v>
          </cell>
          <cell r="AA62">
            <v>0</v>
          </cell>
          <cell r="AB62" t="str">
            <v>T</v>
          </cell>
          <cell r="AC62">
            <v>0</v>
          </cell>
          <cell r="AD62">
            <v>0</v>
          </cell>
          <cell r="AE62" t="str">
            <v>T</v>
          </cell>
          <cell r="AF62">
            <v>0</v>
          </cell>
          <cell r="AG62">
            <v>0</v>
          </cell>
          <cell r="AH62" t="str">
            <v>T</v>
          </cell>
          <cell r="AI62">
            <v>0</v>
          </cell>
          <cell r="AJ62">
            <v>0</v>
          </cell>
          <cell r="AK62" t="str">
            <v>S</v>
          </cell>
          <cell r="AL62">
            <v>0</v>
          </cell>
          <cell r="AM62">
            <v>0</v>
          </cell>
          <cell r="AN62" t="str">
            <v>T</v>
          </cell>
          <cell r="AO62">
            <v>0</v>
          </cell>
          <cell r="AP62">
            <v>0</v>
          </cell>
          <cell r="AQ62" t="str">
            <v>T</v>
          </cell>
          <cell r="AR62">
            <v>0</v>
          </cell>
          <cell r="AS62">
            <v>0</v>
          </cell>
          <cell r="AT62" t="str">
            <v>T</v>
          </cell>
          <cell r="AU62">
            <v>0</v>
          </cell>
          <cell r="AV62">
            <v>0</v>
          </cell>
          <cell r="AW62" t="str">
            <v>T</v>
          </cell>
          <cell r="AX62">
            <v>0</v>
          </cell>
          <cell r="AY62">
            <v>0</v>
          </cell>
          <cell r="AZ62" t="str">
            <v>T</v>
          </cell>
          <cell r="BA62">
            <v>0</v>
          </cell>
          <cell r="BB62">
            <v>0</v>
          </cell>
          <cell r="BC62" t="str">
            <v>T</v>
          </cell>
          <cell r="BD62">
            <v>0</v>
          </cell>
          <cell r="BE62">
            <v>0</v>
          </cell>
          <cell r="BF62" t="str">
            <v>S</v>
          </cell>
          <cell r="BG62">
            <v>0</v>
          </cell>
          <cell r="BH62">
            <v>0</v>
          </cell>
          <cell r="BI62" t="str">
            <v>T</v>
          </cell>
          <cell r="BJ62">
            <v>0</v>
          </cell>
          <cell r="BK62">
            <v>0</v>
          </cell>
          <cell r="BL62" t="str">
            <v>T</v>
          </cell>
          <cell r="BM62">
            <v>0</v>
          </cell>
          <cell r="BN62">
            <v>0</v>
          </cell>
          <cell r="BO62" t="str">
            <v>T</v>
          </cell>
          <cell r="BP62">
            <v>0</v>
          </cell>
          <cell r="BQ62">
            <v>0</v>
          </cell>
          <cell r="BR62" t="str">
            <v>T</v>
          </cell>
          <cell r="BS62">
            <v>0</v>
          </cell>
          <cell r="BT62">
            <v>0</v>
          </cell>
          <cell r="BU62" t="str">
            <v>T</v>
          </cell>
          <cell r="BV62">
            <v>0</v>
          </cell>
          <cell r="BW62">
            <v>0</v>
          </cell>
          <cell r="BX62" t="str">
            <v>T</v>
          </cell>
          <cell r="BY62">
            <v>0</v>
          </cell>
          <cell r="BZ62">
            <v>0</v>
          </cell>
          <cell r="CA62" t="str">
            <v>S</v>
          </cell>
          <cell r="CB62">
            <v>0</v>
          </cell>
          <cell r="CC62">
            <v>0</v>
          </cell>
          <cell r="CD62" t="str">
            <v>T</v>
          </cell>
          <cell r="CE62">
            <v>0</v>
          </cell>
          <cell r="CF62">
            <v>0</v>
          </cell>
          <cell r="CG62" t="str">
            <v>T</v>
          </cell>
          <cell r="CH62">
            <v>0</v>
          </cell>
          <cell r="CI62">
            <v>0</v>
          </cell>
          <cell r="CJ62" t="str">
            <v>T</v>
          </cell>
          <cell r="CK62">
            <v>0</v>
          </cell>
          <cell r="CL62">
            <v>0</v>
          </cell>
          <cell r="CM62" t="str">
            <v>T</v>
          </cell>
          <cell r="CN62">
            <v>0</v>
          </cell>
          <cell r="CO62">
            <v>0</v>
          </cell>
          <cell r="CP62" t="str">
            <v>T</v>
          </cell>
          <cell r="CQ62">
            <v>0</v>
          </cell>
          <cell r="CR62">
            <v>0</v>
          </cell>
          <cell r="CS62" t="str">
            <v>T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4</v>
          </cell>
          <cell r="DM62">
            <v>0</v>
          </cell>
          <cell r="DN62">
            <v>28</v>
          </cell>
          <cell r="DO62">
            <v>24</v>
          </cell>
          <cell r="DP62">
            <v>0</v>
          </cell>
          <cell r="DQ62">
            <v>0</v>
          </cell>
          <cell r="DR62">
            <v>400</v>
          </cell>
        </row>
        <row r="63">
          <cell r="D63" t="str">
            <v>NPIP0090</v>
          </cell>
          <cell r="E63">
            <v>0</v>
          </cell>
          <cell r="F63">
            <v>0</v>
          </cell>
          <cell r="G63" t="str">
            <v>Bansu Bahadur Shripal</v>
          </cell>
          <cell r="H63" t="str">
            <v>Direct Labour Wage</v>
          </cell>
          <cell r="I63">
            <v>0</v>
          </cell>
          <cell r="J63" t="str">
            <v>UNIT-2</v>
          </cell>
          <cell r="K63" t="str">
            <v>Bushing</v>
          </cell>
          <cell r="L63" t="str">
            <v>Assembly - 01</v>
          </cell>
          <cell r="M63" t="str">
            <v>Helper</v>
          </cell>
          <cell r="N63">
            <v>45542</v>
          </cell>
          <cell r="O63">
            <v>1.4931506849315068</v>
          </cell>
          <cell r="P63" t="str">
            <v>S</v>
          </cell>
          <cell r="Q63">
            <v>0</v>
          </cell>
          <cell r="R63">
            <v>5</v>
          </cell>
          <cell r="S63" t="str">
            <v>T</v>
          </cell>
          <cell r="T63">
            <v>0</v>
          </cell>
          <cell r="U63">
            <v>0</v>
          </cell>
          <cell r="V63" t="str">
            <v>T</v>
          </cell>
          <cell r="W63">
            <v>0</v>
          </cell>
          <cell r="X63">
            <v>0</v>
          </cell>
          <cell r="Y63" t="str">
            <v>T</v>
          </cell>
          <cell r="Z63">
            <v>0</v>
          </cell>
          <cell r="AA63">
            <v>0</v>
          </cell>
          <cell r="AB63" t="str">
            <v>P</v>
          </cell>
          <cell r="AC63">
            <v>0</v>
          </cell>
          <cell r="AD63">
            <v>1.5</v>
          </cell>
          <cell r="AE63" t="str">
            <v>T</v>
          </cell>
          <cell r="AF63">
            <v>0</v>
          </cell>
          <cell r="AG63">
            <v>0</v>
          </cell>
          <cell r="AH63" t="str">
            <v>T</v>
          </cell>
          <cell r="AI63">
            <v>0</v>
          </cell>
          <cell r="AJ63">
            <v>0</v>
          </cell>
          <cell r="AK63" t="str">
            <v>S</v>
          </cell>
          <cell r="AL63">
            <v>0</v>
          </cell>
          <cell r="AM63">
            <v>0</v>
          </cell>
          <cell r="AN63" t="str">
            <v>T</v>
          </cell>
          <cell r="AO63">
            <v>0</v>
          </cell>
          <cell r="AP63">
            <v>0</v>
          </cell>
          <cell r="AQ63" t="str">
            <v>T</v>
          </cell>
          <cell r="AR63">
            <v>0</v>
          </cell>
          <cell r="AS63">
            <v>0</v>
          </cell>
          <cell r="AT63" t="str">
            <v>T</v>
          </cell>
          <cell r="AU63">
            <v>0</v>
          </cell>
          <cell r="AV63">
            <v>0</v>
          </cell>
          <cell r="AW63" t="str">
            <v>T</v>
          </cell>
          <cell r="AX63">
            <v>0</v>
          </cell>
          <cell r="AY63">
            <v>0</v>
          </cell>
          <cell r="AZ63" t="str">
            <v>T</v>
          </cell>
          <cell r="BA63">
            <v>0</v>
          </cell>
          <cell r="BB63">
            <v>0</v>
          </cell>
          <cell r="BC63" t="str">
            <v>T</v>
          </cell>
          <cell r="BD63">
            <v>0</v>
          </cell>
          <cell r="BE63">
            <v>0</v>
          </cell>
          <cell r="BF63" t="str">
            <v>T</v>
          </cell>
          <cell r="BG63">
            <v>0</v>
          </cell>
          <cell r="BH63">
            <v>0</v>
          </cell>
          <cell r="BI63" t="str">
            <v>T</v>
          </cell>
          <cell r="BJ63">
            <v>0</v>
          </cell>
          <cell r="BK63">
            <v>0</v>
          </cell>
          <cell r="BL63" t="str">
            <v>T</v>
          </cell>
          <cell r="BM63">
            <v>0</v>
          </cell>
          <cell r="BN63">
            <v>0</v>
          </cell>
          <cell r="BO63" t="str">
            <v>T</v>
          </cell>
          <cell r="BP63">
            <v>0</v>
          </cell>
          <cell r="BQ63">
            <v>0</v>
          </cell>
          <cell r="BR63" t="str">
            <v>T</v>
          </cell>
          <cell r="BS63">
            <v>0</v>
          </cell>
          <cell r="BT63">
            <v>0</v>
          </cell>
          <cell r="BU63" t="str">
            <v>T</v>
          </cell>
          <cell r="BV63">
            <v>0</v>
          </cell>
          <cell r="BW63">
            <v>0</v>
          </cell>
          <cell r="BX63" t="str">
            <v>T</v>
          </cell>
          <cell r="BY63">
            <v>0</v>
          </cell>
          <cell r="BZ63">
            <v>0</v>
          </cell>
          <cell r="CA63" t="str">
            <v>T</v>
          </cell>
          <cell r="CB63">
            <v>0</v>
          </cell>
          <cell r="CC63">
            <v>0</v>
          </cell>
          <cell r="CD63" t="str">
            <v>T</v>
          </cell>
          <cell r="CE63">
            <v>0</v>
          </cell>
          <cell r="CF63">
            <v>0</v>
          </cell>
          <cell r="CG63" t="str">
            <v>T</v>
          </cell>
          <cell r="CH63">
            <v>0</v>
          </cell>
          <cell r="CI63">
            <v>0</v>
          </cell>
          <cell r="CJ63" t="str">
            <v>T</v>
          </cell>
          <cell r="CK63">
            <v>0</v>
          </cell>
          <cell r="CL63">
            <v>0</v>
          </cell>
          <cell r="CM63" t="str">
            <v>T</v>
          </cell>
          <cell r="CN63">
            <v>0</v>
          </cell>
          <cell r="CO63">
            <v>0</v>
          </cell>
          <cell r="CP63" t="str">
            <v>T</v>
          </cell>
          <cell r="CQ63">
            <v>0</v>
          </cell>
          <cell r="CR63">
            <v>0</v>
          </cell>
          <cell r="CS63" t="str">
            <v>T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1</v>
          </cell>
          <cell r="DG63">
            <v>0</v>
          </cell>
          <cell r="DH63">
            <v>6.5</v>
          </cell>
          <cell r="DI63">
            <v>0</v>
          </cell>
          <cell r="DJ63">
            <v>0</v>
          </cell>
          <cell r="DK63">
            <v>0</v>
          </cell>
          <cell r="DL63">
            <v>2</v>
          </cell>
          <cell r="DM63">
            <v>1</v>
          </cell>
          <cell r="DN63">
            <v>28</v>
          </cell>
          <cell r="DO63">
            <v>25</v>
          </cell>
          <cell r="DP63">
            <v>0</v>
          </cell>
          <cell r="DQ63">
            <v>0</v>
          </cell>
          <cell r="DR63">
            <v>0</v>
          </cell>
        </row>
        <row r="64">
          <cell r="D64" t="str">
            <v>SHE417</v>
          </cell>
          <cell r="E64">
            <v>0</v>
          </cell>
          <cell r="F64">
            <v>0</v>
          </cell>
          <cell r="G64" t="str">
            <v>Radhey ram Chandra</v>
          </cell>
          <cell r="H64" t="str">
            <v>Direct Labour Wage</v>
          </cell>
          <cell r="I64">
            <v>0</v>
          </cell>
          <cell r="J64" t="str">
            <v>UNIT-2</v>
          </cell>
          <cell r="K64" t="str">
            <v>Bushing</v>
          </cell>
          <cell r="L64" t="str">
            <v>Assembly - 01</v>
          </cell>
          <cell r="M64" t="str">
            <v>Helper</v>
          </cell>
          <cell r="N64">
            <v>46018</v>
          </cell>
          <cell r="O64">
            <v>0.18904109589041096</v>
          </cell>
          <cell r="P64" t="str">
            <v>S</v>
          </cell>
          <cell r="Q64">
            <v>0</v>
          </cell>
          <cell r="R64">
            <v>5</v>
          </cell>
          <cell r="S64" t="str">
            <v>P</v>
          </cell>
          <cell r="T64">
            <v>0</v>
          </cell>
          <cell r="U64">
            <v>1.5</v>
          </cell>
          <cell r="V64" t="str">
            <v>P</v>
          </cell>
          <cell r="W64">
            <v>0</v>
          </cell>
          <cell r="X64">
            <v>2</v>
          </cell>
          <cell r="Y64" t="str">
            <v>P</v>
          </cell>
          <cell r="Z64">
            <v>0</v>
          </cell>
          <cell r="AA64">
            <v>0</v>
          </cell>
          <cell r="AB64" t="str">
            <v>P</v>
          </cell>
          <cell r="AC64">
            <v>0</v>
          </cell>
          <cell r="AD64">
            <v>2</v>
          </cell>
          <cell r="AE64" t="str">
            <v>P</v>
          </cell>
          <cell r="AF64">
            <v>0</v>
          </cell>
          <cell r="AG64">
            <v>2</v>
          </cell>
          <cell r="AH64" t="str">
            <v>P</v>
          </cell>
          <cell r="AI64">
            <v>0</v>
          </cell>
          <cell r="AJ64">
            <v>2</v>
          </cell>
          <cell r="AK64" t="str">
            <v>S</v>
          </cell>
          <cell r="AL64">
            <v>0</v>
          </cell>
          <cell r="AM64">
            <v>0</v>
          </cell>
          <cell r="AN64" t="str">
            <v>P</v>
          </cell>
          <cell r="AO64">
            <v>0</v>
          </cell>
          <cell r="AP64">
            <v>1.5</v>
          </cell>
          <cell r="AQ64" t="str">
            <v>P</v>
          </cell>
          <cell r="AR64">
            <v>0</v>
          </cell>
          <cell r="AS64">
            <v>0</v>
          </cell>
          <cell r="AT64" t="str">
            <v>A</v>
          </cell>
          <cell r="AU64">
            <v>0</v>
          </cell>
          <cell r="AV64">
            <v>0</v>
          </cell>
          <cell r="AW64" t="str">
            <v>P</v>
          </cell>
          <cell r="AX64">
            <v>0</v>
          </cell>
          <cell r="AY64">
            <v>1.5</v>
          </cell>
          <cell r="AZ64" t="str">
            <v>P</v>
          </cell>
          <cell r="BA64">
            <v>0</v>
          </cell>
          <cell r="BB64">
            <v>1.5</v>
          </cell>
          <cell r="BC64" t="str">
            <v>P</v>
          </cell>
          <cell r="BD64">
            <v>0</v>
          </cell>
          <cell r="BE64">
            <v>2</v>
          </cell>
          <cell r="BF64" t="str">
            <v>S</v>
          </cell>
          <cell r="BG64">
            <v>0</v>
          </cell>
          <cell r="BH64">
            <v>0</v>
          </cell>
          <cell r="BI64" t="str">
            <v>P</v>
          </cell>
          <cell r="BJ64">
            <v>0</v>
          </cell>
          <cell r="BK64">
            <v>2</v>
          </cell>
          <cell r="BL64" t="str">
            <v>P</v>
          </cell>
          <cell r="BM64">
            <v>0</v>
          </cell>
          <cell r="BN64">
            <v>2</v>
          </cell>
          <cell r="BO64" t="str">
            <v>P</v>
          </cell>
          <cell r="BP64">
            <v>0</v>
          </cell>
          <cell r="BQ64">
            <v>2</v>
          </cell>
          <cell r="BR64" t="str">
            <v>P</v>
          </cell>
          <cell r="BS64">
            <v>0</v>
          </cell>
          <cell r="BT64">
            <v>2</v>
          </cell>
          <cell r="BU64" t="str">
            <v>P</v>
          </cell>
          <cell r="BV64">
            <v>0</v>
          </cell>
          <cell r="BW64">
            <v>2</v>
          </cell>
          <cell r="BX64" t="str">
            <v>P</v>
          </cell>
          <cell r="BY64">
            <v>0</v>
          </cell>
          <cell r="BZ64">
            <v>2</v>
          </cell>
          <cell r="CA64" t="str">
            <v>S</v>
          </cell>
          <cell r="CB64">
            <v>0</v>
          </cell>
          <cell r="CC64">
            <v>4</v>
          </cell>
          <cell r="CD64" t="str">
            <v>A</v>
          </cell>
          <cell r="CE64">
            <v>0</v>
          </cell>
          <cell r="CF64">
            <v>0</v>
          </cell>
          <cell r="CG64" t="str">
            <v>P</v>
          </cell>
          <cell r="CH64">
            <v>0</v>
          </cell>
          <cell r="CI64">
            <v>2</v>
          </cell>
          <cell r="CJ64" t="str">
            <v>P</v>
          </cell>
          <cell r="CK64">
            <v>0</v>
          </cell>
          <cell r="CL64">
            <v>2</v>
          </cell>
          <cell r="CM64" t="str">
            <v>P</v>
          </cell>
          <cell r="CN64">
            <v>0</v>
          </cell>
          <cell r="CO64">
            <v>2</v>
          </cell>
          <cell r="CP64" t="str">
            <v>P</v>
          </cell>
          <cell r="CQ64">
            <v>0</v>
          </cell>
          <cell r="CR64">
            <v>2</v>
          </cell>
          <cell r="CS64" t="str">
            <v>P</v>
          </cell>
          <cell r="CT64">
            <v>0</v>
          </cell>
          <cell r="CU64">
            <v>2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22</v>
          </cell>
          <cell r="DG64">
            <v>0</v>
          </cell>
          <cell r="DH64">
            <v>47</v>
          </cell>
          <cell r="DI64">
            <v>2</v>
          </cell>
          <cell r="DJ64">
            <v>0</v>
          </cell>
          <cell r="DK64">
            <v>0</v>
          </cell>
          <cell r="DL64">
            <v>4</v>
          </cell>
          <cell r="DM64">
            <v>22</v>
          </cell>
          <cell r="DN64">
            <v>28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</row>
        <row r="65">
          <cell r="D65" t="str">
            <v>SHE419</v>
          </cell>
          <cell r="E65">
            <v>0</v>
          </cell>
          <cell r="F65">
            <v>0</v>
          </cell>
          <cell r="G65" t="str">
            <v>Ajay Chandan</v>
          </cell>
          <cell r="H65" t="str">
            <v>Direct Labour Wage</v>
          </cell>
          <cell r="I65">
            <v>0</v>
          </cell>
          <cell r="J65" t="str">
            <v>UNIT-2</v>
          </cell>
          <cell r="K65" t="str">
            <v>MV</v>
          </cell>
          <cell r="L65" t="str">
            <v>HV Winding</v>
          </cell>
          <cell r="M65" t="str">
            <v>Helper</v>
          </cell>
          <cell r="N65">
            <v>46018</v>
          </cell>
          <cell r="O65">
            <v>0.18904109589041096</v>
          </cell>
          <cell r="P65" t="str">
            <v>S</v>
          </cell>
          <cell r="Q65">
            <v>0</v>
          </cell>
          <cell r="R65">
            <v>5</v>
          </cell>
          <cell r="S65" t="str">
            <v>P</v>
          </cell>
          <cell r="T65">
            <v>0</v>
          </cell>
          <cell r="U65">
            <v>2</v>
          </cell>
          <cell r="V65" t="str">
            <v>T</v>
          </cell>
          <cell r="W65">
            <v>0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 t="str">
            <v>P</v>
          </cell>
          <cell r="AC65">
            <v>0</v>
          </cell>
          <cell r="AD65">
            <v>0</v>
          </cell>
          <cell r="AE65" t="str">
            <v>P</v>
          </cell>
          <cell r="AF65">
            <v>0</v>
          </cell>
          <cell r="AG65">
            <v>0</v>
          </cell>
          <cell r="AH65" t="str">
            <v>P</v>
          </cell>
          <cell r="AI65">
            <v>0</v>
          </cell>
          <cell r="AJ65">
            <v>2.5</v>
          </cell>
          <cell r="AK65" t="str">
            <v>T</v>
          </cell>
          <cell r="AL65">
            <v>0</v>
          </cell>
          <cell r="AM65">
            <v>0</v>
          </cell>
          <cell r="AN65" t="str">
            <v>P</v>
          </cell>
          <cell r="AO65">
            <v>0</v>
          </cell>
          <cell r="AP65">
            <v>0</v>
          </cell>
          <cell r="AQ65" t="str">
            <v>T</v>
          </cell>
          <cell r="AR65">
            <v>0</v>
          </cell>
          <cell r="AS65">
            <v>0</v>
          </cell>
          <cell r="AT65" t="str">
            <v>P</v>
          </cell>
          <cell r="AU65">
            <v>0</v>
          </cell>
          <cell r="AV65">
            <v>0</v>
          </cell>
          <cell r="AW65" t="str">
            <v>T</v>
          </cell>
          <cell r="AX65">
            <v>0</v>
          </cell>
          <cell r="AY65">
            <v>0</v>
          </cell>
          <cell r="AZ65" t="str">
            <v>T</v>
          </cell>
          <cell r="BA65">
            <v>0</v>
          </cell>
          <cell r="BB65">
            <v>0</v>
          </cell>
          <cell r="BC65" t="str">
            <v>T</v>
          </cell>
          <cell r="BD65">
            <v>0</v>
          </cell>
          <cell r="BE65">
            <v>0</v>
          </cell>
          <cell r="BF65" t="str">
            <v>S</v>
          </cell>
          <cell r="BG65">
            <v>0</v>
          </cell>
          <cell r="BH65">
            <v>0</v>
          </cell>
          <cell r="BI65" t="str">
            <v>T</v>
          </cell>
          <cell r="BJ65">
            <v>0</v>
          </cell>
          <cell r="BK65">
            <v>0</v>
          </cell>
          <cell r="BL65" t="str">
            <v>T</v>
          </cell>
          <cell r="BM65">
            <v>0</v>
          </cell>
          <cell r="BN65">
            <v>0</v>
          </cell>
          <cell r="BO65" t="str">
            <v>P</v>
          </cell>
          <cell r="BP65">
            <v>0</v>
          </cell>
          <cell r="BQ65">
            <v>2</v>
          </cell>
          <cell r="BR65" t="str">
            <v>T</v>
          </cell>
          <cell r="BS65">
            <v>0</v>
          </cell>
          <cell r="BT65">
            <v>0</v>
          </cell>
          <cell r="BU65" t="str">
            <v>T</v>
          </cell>
          <cell r="BV65">
            <v>0</v>
          </cell>
          <cell r="BW65">
            <v>0</v>
          </cell>
          <cell r="BX65" t="str">
            <v>T</v>
          </cell>
          <cell r="BY65">
            <v>0</v>
          </cell>
          <cell r="BZ65">
            <v>0</v>
          </cell>
          <cell r="CA65" t="str">
            <v>S</v>
          </cell>
          <cell r="CB65">
            <v>0</v>
          </cell>
          <cell r="CC65">
            <v>5.5</v>
          </cell>
          <cell r="CD65" t="str">
            <v>T</v>
          </cell>
          <cell r="CE65">
            <v>0</v>
          </cell>
          <cell r="CF65">
            <v>0</v>
          </cell>
          <cell r="CG65" t="str">
            <v>T</v>
          </cell>
          <cell r="CH65">
            <v>0</v>
          </cell>
          <cell r="CI65">
            <v>0</v>
          </cell>
          <cell r="CJ65" t="str">
            <v>T</v>
          </cell>
          <cell r="CK65">
            <v>0</v>
          </cell>
          <cell r="CL65">
            <v>0</v>
          </cell>
          <cell r="CM65" t="str">
            <v>T</v>
          </cell>
          <cell r="CN65">
            <v>0</v>
          </cell>
          <cell r="CO65">
            <v>0</v>
          </cell>
          <cell r="CP65" t="str">
            <v>P</v>
          </cell>
          <cell r="CQ65">
            <v>0</v>
          </cell>
          <cell r="CR65">
            <v>2.5</v>
          </cell>
          <cell r="CS65" t="str">
            <v>T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9</v>
          </cell>
          <cell r="DG65">
            <v>0</v>
          </cell>
          <cell r="DH65">
            <v>19.5</v>
          </cell>
          <cell r="DI65">
            <v>0</v>
          </cell>
          <cell r="DJ65">
            <v>0</v>
          </cell>
          <cell r="DK65">
            <v>0</v>
          </cell>
          <cell r="DL65">
            <v>3</v>
          </cell>
          <cell r="DM65">
            <v>9</v>
          </cell>
          <cell r="DN65">
            <v>28</v>
          </cell>
          <cell r="DO65">
            <v>16</v>
          </cell>
          <cell r="DP65">
            <v>0</v>
          </cell>
          <cell r="DQ65">
            <v>0</v>
          </cell>
          <cell r="DR65">
            <v>0</v>
          </cell>
        </row>
        <row r="66">
          <cell r="D66" t="str">
            <v>SHE420</v>
          </cell>
          <cell r="E66">
            <v>0</v>
          </cell>
          <cell r="F66">
            <v>0</v>
          </cell>
          <cell r="G66" t="str">
            <v>Raval Jagdishbhai Kanubhai</v>
          </cell>
          <cell r="H66" t="str">
            <v>InDirect Labour Wage</v>
          </cell>
          <cell r="I66">
            <v>0</v>
          </cell>
          <cell r="J66" t="str">
            <v>UNIT-2</v>
          </cell>
          <cell r="K66" t="str">
            <v>General</v>
          </cell>
          <cell r="L66" t="str">
            <v xml:space="preserve">General </v>
          </cell>
          <cell r="M66" t="str">
            <v>Supervisor</v>
          </cell>
          <cell r="N66">
            <v>46023</v>
          </cell>
          <cell r="O66">
            <v>0.17534246575342466</v>
          </cell>
          <cell r="P66" t="str">
            <v>A</v>
          </cell>
          <cell r="Q66">
            <v>0</v>
          </cell>
          <cell r="R66">
            <v>0</v>
          </cell>
          <cell r="S66" t="str">
            <v>A</v>
          </cell>
          <cell r="T66">
            <v>0</v>
          </cell>
          <cell r="U66">
            <v>0</v>
          </cell>
          <cell r="V66" t="str">
            <v>A</v>
          </cell>
          <cell r="W66">
            <v>0</v>
          </cell>
          <cell r="X66">
            <v>0</v>
          </cell>
          <cell r="Y66" t="str">
            <v>A</v>
          </cell>
          <cell r="Z66">
            <v>0</v>
          </cell>
          <cell r="AA66">
            <v>0</v>
          </cell>
          <cell r="AB66" t="str">
            <v>A</v>
          </cell>
          <cell r="AC66">
            <v>0</v>
          </cell>
          <cell r="AD66">
            <v>0</v>
          </cell>
          <cell r="AE66" t="str">
            <v>A</v>
          </cell>
          <cell r="AF66">
            <v>0</v>
          </cell>
          <cell r="AG66">
            <v>0</v>
          </cell>
          <cell r="AH66" t="str">
            <v>A</v>
          </cell>
          <cell r="AI66">
            <v>0</v>
          </cell>
          <cell r="AJ66">
            <v>0</v>
          </cell>
          <cell r="AK66" t="str">
            <v>A</v>
          </cell>
          <cell r="AL66">
            <v>0</v>
          </cell>
          <cell r="AM66">
            <v>0</v>
          </cell>
          <cell r="AN66" t="str">
            <v>A</v>
          </cell>
          <cell r="AO66">
            <v>0</v>
          </cell>
          <cell r="AP66">
            <v>0</v>
          </cell>
          <cell r="AQ66" t="str">
            <v>A</v>
          </cell>
          <cell r="AR66">
            <v>0</v>
          </cell>
          <cell r="AS66">
            <v>0</v>
          </cell>
          <cell r="AT66" t="str">
            <v>A</v>
          </cell>
          <cell r="AU66">
            <v>0</v>
          </cell>
          <cell r="AV66">
            <v>0</v>
          </cell>
          <cell r="AW66" t="str">
            <v>A</v>
          </cell>
          <cell r="AX66">
            <v>0</v>
          </cell>
          <cell r="AY66">
            <v>0</v>
          </cell>
          <cell r="AZ66" t="str">
            <v>A</v>
          </cell>
          <cell r="BA66">
            <v>0</v>
          </cell>
          <cell r="BB66">
            <v>0</v>
          </cell>
          <cell r="BC66" t="str">
            <v>A</v>
          </cell>
          <cell r="BD66">
            <v>0</v>
          </cell>
          <cell r="BE66">
            <v>0</v>
          </cell>
          <cell r="BF66" t="str">
            <v>A</v>
          </cell>
          <cell r="BG66">
            <v>0</v>
          </cell>
          <cell r="BH66">
            <v>0</v>
          </cell>
          <cell r="BI66" t="str">
            <v>A</v>
          </cell>
          <cell r="BJ66">
            <v>0</v>
          </cell>
          <cell r="BK66">
            <v>0</v>
          </cell>
          <cell r="BL66" t="str">
            <v>A</v>
          </cell>
          <cell r="BM66">
            <v>0</v>
          </cell>
          <cell r="BN66">
            <v>0</v>
          </cell>
          <cell r="BO66" t="str">
            <v>A</v>
          </cell>
          <cell r="BP66">
            <v>0</v>
          </cell>
          <cell r="BQ66">
            <v>0</v>
          </cell>
          <cell r="BR66" t="str">
            <v>A</v>
          </cell>
          <cell r="BS66">
            <v>0</v>
          </cell>
          <cell r="BT66">
            <v>0</v>
          </cell>
          <cell r="BU66" t="str">
            <v>A</v>
          </cell>
          <cell r="BV66">
            <v>0</v>
          </cell>
          <cell r="BW66">
            <v>0</v>
          </cell>
          <cell r="BX66" t="str">
            <v>A</v>
          </cell>
          <cell r="BY66">
            <v>0</v>
          </cell>
          <cell r="BZ66">
            <v>0</v>
          </cell>
          <cell r="CA66" t="str">
            <v>A</v>
          </cell>
          <cell r="CB66">
            <v>0</v>
          </cell>
          <cell r="CC66">
            <v>0</v>
          </cell>
          <cell r="CD66" t="str">
            <v>A</v>
          </cell>
          <cell r="CE66">
            <v>0</v>
          </cell>
          <cell r="CF66">
            <v>0</v>
          </cell>
          <cell r="CG66" t="str">
            <v>A</v>
          </cell>
          <cell r="CH66">
            <v>0</v>
          </cell>
          <cell r="CI66">
            <v>0</v>
          </cell>
          <cell r="CJ66" t="str">
            <v>A</v>
          </cell>
          <cell r="CK66">
            <v>0</v>
          </cell>
          <cell r="CL66">
            <v>0</v>
          </cell>
          <cell r="CM66" t="str">
            <v>A</v>
          </cell>
          <cell r="CN66">
            <v>0</v>
          </cell>
          <cell r="CO66">
            <v>0</v>
          </cell>
          <cell r="CP66" t="str">
            <v>A</v>
          </cell>
          <cell r="CQ66">
            <v>0</v>
          </cell>
          <cell r="CR66">
            <v>0</v>
          </cell>
          <cell r="CS66" t="str">
            <v>A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28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28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</row>
        <row r="67">
          <cell r="D67" t="str">
            <v>SHE424</v>
          </cell>
          <cell r="E67">
            <v>0</v>
          </cell>
          <cell r="F67">
            <v>0</v>
          </cell>
          <cell r="G67" t="str">
            <v>Sindha Ajaysinh Dolatsinh</v>
          </cell>
          <cell r="H67" t="str">
            <v>InDirect Labour Wage</v>
          </cell>
          <cell r="I67">
            <v>0</v>
          </cell>
          <cell r="J67" t="str">
            <v>UNIT-2</v>
          </cell>
          <cell r="K67" t="str">
            <v>Store</v>
          </cell>
          <cell r="L67" t="str">
            <v>Store</v>
          </cell>
          <cell r="M67" t="str">
            <v>Helper</v>
          </cell>
          <cell r="N67">
            <v>46038</v>
          </cell>
          <cell r="O67">
            <v>0.13424657534246576</v>
          </cell>
          <cell r="P67" t="str">
            <v>S</v>
          </cell>
          <cell r="Q67">
            <v>0</v>
          </cell>
          <cell r="R67">
            <v>0</v>
          </cell>
          <cell r="S67" t="str">
            <v>P</v>
          </cell>
          <cell r="T67">
            <v>0</v>
          </cell>
          <cell r="U67">
            <v>0</v>
          </cell>
          <cell r="V67" t="str">
            <v>A</v>
          </cell>
          <cell r="W67">
            <v>0</v>
          </cell>
          <cell r="X67">
            <v>0</v>
          </cell>
          <cell r="Y67" t="str">
            <v>P</v>
          </cell>
          <cell r="Z67">
            <v>0</v>
          </cell>
          <cell r="AA67">
            <v>0</v>
          </cell>
          <cell r="AB67" t="str">
            <v>P</v>
          </cell>
          <cell r="AC67">
            <v>0</v>
          </cell>
          <cell r="AD67">
            <v>0</v>
          </cell>
          <cell r="AE67" t="str">
            <v>P</v>
          </cell>
          <cell r="AF67">
            <v>0</v>
          </cell>
          <cell r="AG67">
            <v>0</v>
          </cell>
          <cell r="AH67" t="str">
            <v>A</v>
          </cell>
          <cell r="AI67">
            <v>0</v>
          </cell>
          <cell r="AJ67">
            <v>0</v>
          </cell>
          <cell r="AK67" t="str">
            <v>S</v>
          </cell>
          <cell r="AL67">
            <v>0</v>
          </cell>
          <cell r="AM67">
            <v>0</v>
          </cell>
          <cell r="AN67" t="str">
            <v>P</v>
          </cell>
          <cell r="AO67">
            <v>0</v>
          </cell>
          <cell r="AP67">
            <v>0</v>
          </cell>
          <cell r="AQ67" t="str">
            <v>A</v>
          </cell>
          <cell r="AR67">
            <v>0</v>
          </cell>
          <cell r="AS67">
            <v>0</v>
          </cell>
          <cell r="AT67" t="str">
            <v>P</v>
          </cell>
          <cell r="AU67">
            <v>0</v>
          </cell>
          <cell r="AV67">
            <v>0</v>
          </cell>
          <cell r="AW67" t="str">
            <v>P</v>
          </cell>
          <cell r="AX67">
            <v>0</v>
          </cell>
          <cell r="AY67">
            <v>0</v>
          </cell>
          <cell r="AZ67" t="str">
            <v>P</v>
          </cell>
          <cell r="BA67">
            <v>0</v>
          </cell>
          <cell r="BB67">
            <v>0</v>
          </cell>
          <cell r="BC67" t="str">
            <v>P</v>
          </cell>
          <cell r="BD67">
            <v>0</v>
          </cell>
          <cell r="BE67">
            <v>0</v>
          </cell>
          <cell r="BF67" t="str">
            <v>S</v>
          </cell>
          <cell r="BG67">
            <v>0</v>
          </cell>
          <cell r="BH67">
            <v>0</v>
          </cell>
          <cell r="BI67" t="str">
            <v>P</v>
          </cell>
          <cell r="BJ67">
            <v>0</v>
          </cell>
          <cell r="BK67">
            <v>0</v>
          </cell>
          <cell r="BL67" t="str">
            <v>P</v>
          </cell>
          <cell r="BM67">
            <v>0</v>
          </cell>
          <cell r="BN67">
            <v>0</v>
          </cell>
          <cell r="BO67" t="str">
            <v>P</v>
          </cell>
          <cell r="BP67">
            <v>0</v>
          </cell>
          <cell r="BQ67">
            <v>0</v>
          </cell>
          <cell r="BR67" t="str">
            <v>P</v>
          </cell>
          <cell r="BS67">
            <v>0</v>
          </cell>
          <cell r="BT67">
            <v>0</v>
          </cell>
          <cell r="BU67" t="str">
            <v>P</v>
          </cell>
          <cell r="BV67">
            <v>0</v>
          </cell>
          <cell r="BW67">
            <v>0</v>
          </cell>
          <cell r="BX67" t="str">
            <v>P</v>
          </cell>
          <cell r="BY67">
            <v>0</v>
          </cell>
          <cell r="BZ67">
            <v>0</v>
          </cell>
          <cell r="CA67" t="str">
            <v>S</v>
          </cell>
          <cell r="CB67">
            <v>0</v>
          </cell>
          <cell r="CC67">
            <v>0</v>
          </cell>
          <cell r="CD67" t="str">
            <v>P</v>
          </cell>
          <cell r="CE67">
            <v>0</v>
          </cell>
          <cell r="CF67">
            <v>0</v>
          </cell>
          <cell r="CG67" t="str">
            <v>P</v>
          </cell>
          <cell r="CH67">
            <v>0</v>
          </cell>
          <cell r="CI67">
            <v>0</v>
          </cell>
          <cell r="CJ67" t="str">
            <v>P</v>
          </cell>
          <cell r="CK67">
            <v>0</v>
          </cell>
          <cell r="CL67">
            <v>0</v>
          </cell>
          <cell r="CM67" t="str">
            <v>P</v>
          </cell>
          <cell r="CN67">
            <v>0</v>
          </cell>
          <cell r="CO67">
            <v>0</v>
          </cell>
          <cell r="CP67" t="str">
            <v>P</v>
          </cell>
          <cell r="CQ67">
            <v>0</v>
          </cell>
          <cell r="CR67">
            <v>0</v>
          </cell>
          <cell r="CS67" t="str">
            <v>P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21</v>
          </cell>
          <cell r="DG67">
            <v>0</v>
          </cell>
          <cell r="DH67">
            <v>0</v>
          </cell>
          <cell r="DI67">
            <v>3</v>
          </cell>
          <cell r="DJ67">
            <v>0</v>
          </cell>
          <cell r="DK67">
            <v>0</v>
          </cell>
          <cell r="DL67">
            <v>4</v>
          </cell>
          <cell r="DM67">
            <v>21</v>
          </cell>
          <cell r="DN67">
            <v>28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</row>
        <row r="68">
          <cell r="D68" t="str">
            <v>SHE425</v>
          </cell>
          <cell r="E68">
            <v>0</v>
          </cell>
          <cell r="F68">
            <v>0</v>
          </cell>
          <cell r="G68" t="str">
            <v>Makvana Harshadkumar Mahendrasinh</v>
          </cell>
          <cell r="H68" t="str">
            <v>InDirect Labour Wage</v>
          </cell>
          <cell r="I68">
            <v>0</v>
          </cell>
          <cell r="J68" t="str">
            <v>UNIT-2</v>
          </cell>
          <cell r="K68" t="str">
            <v>Store</v>
          </cell>
          <cell r="L68" t="str">
            <v>Store</v>
          </cell>
          <cell r="M68" t="str">
            <v>Helper</v>
          </cell>
          <cell r="N68">
            <v>46041</v>
          </cell>
          <cell r="O68">
            <v>0.12602739726027398</v>
          </cell>
          <cell r="P68" t="str">
            <v>A</v>
          </cell>
          <cell r="Q68">
            <v>0</v>
          </cell>
          <cell r="R68">
            <v>0</v>
          </cell>
          <cell r="S68" t="str">
            <v>A</v>
          </cell>
          <cell r="T68">
            <v>0</v>
          </cell>
          <cell r="U68">
            <v>0</v>
          </cell>
          <cell r="V68" t="str">
            <v>A</v>
          </cell>
          <cell r="W68">
            <v>0</v>
          </cell>
          <cell r="X68">
            <v>0</v>
          </cell>
          <cell r="Y68" t="str">
            <v>A</v>
          </cell>
          <cell r="Z68">
            <v>0</v>
          </cell>
          <cell r="AA68">
            <v>0</v>
          </cell>
          <cell r="AB68" t="str">
            <v>A</v>
          </cell>
          <cell r="AC68">
            <v>0</v>
          </cell>
          <cell r="AD68">
            <v>0</v>
          </cell>
          <cell r="AE68" t="str">
            <v>A</v>
          </cell>
          <cell r="AF68">
            <v>0</v>
          </cell>
          <cell r="AG68">
            <v>0</v>
          </cell>
          <cell r="AH68" t="str">
            <v>A</v>
          </cell>
          <cell r="AI68">
            <v>0</v>
          </cell>
          <cell r="AJ68">
            <v>0</v>
          </cell>
          <cell r="AK68" t="str">
            <v>A</v>
          </cell>
          <cell r="AL68">
            <v>0</v>
          </cell>
          <cell r="AM68">
            <v>0</v>
          </cell>
          <cell r="AN68" t="str">
            <v>A</v>
          </cell>
          <cell r="AO68">
            <v>0</v>
          </cell>
          <cell r="AP68">
            <v>0</v>
          </cell>
          <cell r="AQ68" t="str">
            <v>A</v>
          </cell>
          <cell r="AR68">
            <v>0</v>
          </cell>
          <cell r="AS68">
            <v>0</v>
          </cell>
          <cell r="AT68" t="str">
            <v>A</v>
          </cell>
          <cell r="AU68">
            <v>0</v>
          </cell>
          <cell r="AV68">
            <v>0</v>
          </cell>
          <cell r="AW68" t="str">
            <v>A</v>
          </cell>
          <cell r="AX68">
            <v>0</v>
          </cell>
          <cell r="AY68">
            <v>0</v>
          </cell>
          <cell r="AZ68" t="str">
            <v>A</v>
          </cell>
          <cell r="BA68">
            <v>0</v>
          </cell>
          <cell r="BB68">
            <v>0</v>
          </cell>
          <cell r="BC68" t="str">
            <v>A</v>
          </cell>
          <cell r="BD68">
            <v>0</v>
          </cell>
          <cell r="BE68">
            <v>0</v>
          </cell>
          <cell r="BF68" t="str">
            <v>A</v>
          </cell>
          <cell r="BG68">
            <v>0</v>
          </cell>
          <cell r="BH68">
            <v>0</v>
          </cell>
          <cell r="BI68" t="str">
            <v>A</v>
          </cell>
          <cell r="BJ68">
            <v>0</v>
          </cell>
          <cell r="BK68">
            <v>0</v>
          </cell>
          <cell r="BL68" t="str">
            <v>A</v>
          </cell>
          <cell r="BM68">
            <v>0</v>
          </cell>
          <cell r="BN68">
            <v>0</v>
          </cell>
          <cell r="BO68" t="str">
            <v>A</v>
          </cell>
          <cell r="BP68">
            <v>0</v>
          </cell>
          <cell r="BQ68">
            <v>0</v>
          </cell>
          <cell r="BR68" t="str">
            <v>A</v>
          </cell>
          <cell r="BS68">
            <v>0</v>
          </cell>
          <cell r="BT68">
            <v>0</v>
          </cell>
          <cell r="BU68" t="str">
            <v>A</v>
          </cell>
          <cell r="BV68">
            <v>0</v>
          </cell>
          <cell r="BW68">
            <v>0</v>
          </cell>
          <cell r="BX68" t="str">
            <v>A</v>
          </cell>
          <cell r="BY68">
            <v>0</v>
          </cell>
          <cell r="BZ68">
            <v>0</v>
          </cell>
          <cell r="CA68" t="str">
            <v>A</v>
          </cell>
          <cell r="CB68">
            <v>0</v>
          </cell>
          <cell r="CC68">
            <v>0</v>
          </cell>
          <cell r="CD68" t="str">
            <v>A</v>
          </cell>
          <cell r="CE68">
            <v>0</v>
          </cell>
          <cell r="CF68">
            <v>0</v>
          </cell>
          <cell r="CG68" t="str">
            <v>A</v>
          </cell>
          <cell r="CH68">
            <v>0</v>
          </cell>
          <cell r="CI68">
            <v>0</v>
          </cell>
          <cell r="CJ68" t="str">
            <v>A</v>
          </cell>
          <cell r="CK68">
            <v>0</v>
          </cell>
          <cell r="CL68">
            <v>0</v>
          </cell>
          <cell r="CM68" t="str">
            <v>A</v>
          </cell>
          <cell r="CN68">
            <v>0</v>
          </cell>
          <cell r="CO68">
            <v>0</v>
          </cell>
          <cell r="CP68" t="str">
            <v>A</v>
          </cell>
          <cell r="CQ68">
            <v>0</v>
          </cell>
          <cell r="CR68">
            <v>0</v>
          </cell>
          <cell r="CS68" t="str">
            <v>A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28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28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</row>
        <row r="69">
          <cell r="D69" t="str">
            <v>SHE426</v>
          </cell>
          <cell r="E69">
            <v>0</v>
          </cell>
          <cell r="F69">
            <v>0</v>
          </cell>
          <cell r="G69" t="str">
            <v>Shiv Kumar Sohan lal</v>
          </cell>
          <cell r="H69" t="str">
            <v>Direct Labour Wage</v>
          </cell>
          <cell r="I69">
            <v>0</v>
          </cell>
          <cell r="J69" t="str">
            <v>UNIT-2</v>
          </cell>
          <cell r="K69" t="str">
            <v>Bushing</v>
          </cell>
          <cell r="L69" t="str">
            <v>Assembly - 01</v>
          </cell>
          <cell r="M69" t="str">
            <v>Helper</v>
          </cell>
          <cell r="N69">
            <v>46041</v>
          </cell>
          <cell r="O69">
            <v>0.12602739726027398</v>
          </cell>
          <cell r="P69" t="str">
            <v>S</v>
          </cell>
          <cell r="Q69">
            <v>0</v>
          </cell>
          <cell r="R69">
            <v>5</v>
          </cell>
          <cell r="S69" t="str">
            <v>T</v>
          </cell>
          <cell r="T69">
            <v>0</v>
          </cell>
          <cell r="U69">
            <v>0</v>
          </cell>
          <cell r="V69" t="str">
            <v>T</v>
          </cell>
          <cell r="W69">
            <v>0</v>
          </cell>
          <cell r="X69">
            <v>0</v>
          </cell>
          <cell r="Y69" t="str">
            <v>P</v>
          </cell>
          <cell r="Z69">
            <v>0</v>
          </cell>
          <cell r="AA69">
            <v>1.5</v>
          </cell>
          <cell r="AB69" t="str">
            <v>P</v>
          </cell>
          <cell r="AC69">
            <v>0</v>
          </cell>
          <cell r="AD69">
            <v>1.5</v>
          </cell>
          <cell r="AE69" t="str">
            <v>T</v>
          </cell>
          <cell r="AF69">
            <v>0</v>
          </cell>
          <cell r="AG69">
            <v>0</v>
          </cell>
          <cell r="AH69" t="str">
            <v>T</v>
          </cell>
          <cell r="AI69">
            <v>0</v>
          </cell>
          <cell r="AJ69">
            <v>0</v>
          </cell>
          <cell r="AK69" t="str">
            <v>S</v>
          </cell>
          <cell r="AL69">
            <v>0</v>
          </cell>
          <cell r="AM69">
            <v>0</v>
          </cell>
          <cell r="AN69" t="str">
            <v>T</v>
          </cell>
          <cell r="AO69">
            <v>0</v>
          </cell>
          <cell r="AP69">
            <v>0</v>
          </cell>
          <cell r="AQ69" t="str">
            <v>T</v>
          </cell>
          <cell r="AR69">
            <v>0</v>
          </cell>
          <cell r="AS69">
            <v>0</v>
          </cell>
          <cell r="AT69" t="str">
            <v>T</v>
          </cell>
          <cell r="AU69">
            <v>0</v>
          </cell>
          <cell r="AV69">
            <v>0</v>
          </cell>
          <cell r="AW69" t="str">
            <v>T</v>
          </cell>
          <cell r="AX69">
            <v>0</v>
          </cell>
          <cell r="AY69">
            <v>0</v>
          </cell>
          <cell r="AZ69" t="str">
            <v>T</v>
          </cell>
          <cell r="BA69">
            <v>0</v>
          </cell>
          <cell r="BB69">
            <v>0</v>
          </cell>
          <cell r="BC69" t="str">
            <v>P</v>
          </cell>
          <cell r="BD69">
            <v>0</v>
          </cell>
          <cell r="BE69">
            <v>2</v>
          </cell>
          <cell r="BF69" t="str">
            <v>T</v>
          </cell>
          <cell r="BG69">
            <v>0</v>
          </cell>
          <cell r="BH69">
            <v>0</v>
          </cell>
          <cell r="BI69" t="str">
            <v>T</v>
          </cell>
          <cell r="BJ69">
            <v>0</v>
          </cell>
          <cell r="BK69">
            <v>0</v>
          </cell>
          <cell r="BL69" t="str">
            <v>T</v>
          </cell>
          <cell r="BM69">
            <v>0</v>
          </cell>
          <cell r="BN69">
            <v>0</v>
          </cell>
          <cell r="BO69" t="str">
            <v>T</v>
          </cell>
          <cell r="BP69">
            <v>0</v>
          </cell>
          <cell r="BQ69">
            <v>0</v>
          </cell>
          <cell r="BR69" t="str">
            <v>T</v>
          </cell>
          <cell r="BS69">
            <v>0</v>
          </cell>
          <cell r="BT69">
            <v>0</v>
          </cell>
          <cell r="BU69" t="str">
            <v>T</v>
          </cell>
          <cell r="BV69">
            <v>0</v>
          </cell>
          <cell r="BW69">
            <v>0</v>
          </cell>
          <cell r="BX69" t="str">
            <v>T</v>
          </cell>
          <cell r="BY69">
            <v>0</v>
          </cell>
          <cell r="BZ69">
            <v>0</v>
          </cell>
          <cell r="CA69" t="str">
            <v>T</v>
          </cell>
          <cell r="CB69">
            <v>0</v>
          </cell>
          <cell r="CC69">
            <v>0</v>
          </cell>
          <cell r="CD69" t="str">
            <v>T</v>
          </cell>
          <cell r="CE69">
            <v>0</v>
          </cell>
          <cell r="CF69">
            <v>0</v>
          </cell>
          <cell r="CG69" t="str">
            <v>T</v>
          </cell>
          <cell r="CH69">
            <v>0</v>
          </cell>
          <cell r="CI69">
            <v>0</v>
          </cell>
          <cell r="CJ69" t="str">
            <v>T</v>
          </cell>
          <cell r="CK69">
            <v>0</v>
          </cell>
          <cell r="CL69">
            <v>0</v>
          </cell>
          <cell r="CM69" t="str">
            <v>T</v>
          </cell>
          <cell r="CN69">
            <v>0</v>
          </cell>
          <cell r="CO69">
            <v>0</v>
          </cell>
          <cell r="CP69" t="str">
            <v>T</v>
          </cell>
          <cell r="CQ69">
            <v>0</v>
          </cell>
          <cell r="CR69">
            <v>0</v>
          </cell>
          <cell r="CS69" t="str">
            <v>T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3</v>
          </cell>
          <cell r="DG69">
            <v>0</v>
          </cell>
          <cell r="DH69">
            <v>10</v>
          </cell>
          <cell r="DI69">
            <v>0</v>
          </cell>
          <cell r="DJ69">
            <v>0</v>
          </cell>
          <cell r="DK69">
            <v>0</v>
          </cell>
          <cell r="DL69">
            <v>2</v>
          </cell>
          <cell r="DM69">
            <v>3</v>
          </cell>
          <cell r="DN69">
            <v>28</v>
          </cell>
          <cell r="DO69">
            <v>23</v>
          </cell>
          <cell r="DP69">
            <v>0</v>
          </cell>
          <cell r="DQ69">
            <v>0</v>
          </cell>
          <cell r="DR69">
            <v>0</v>
          </cell>
        </row>
        <row r="70">
          <cell r="D70" t="str">
            <v>SHE427</v>
          </cell>
          <cell r="E70">
            <v>0</v>
          </cell>
          <cell r="F70">
            <v>0</v>
          </cell>
          <cell r="G70" t="str">
            <v>Vijay Kumar Sohan Lal</v>
          </cell>
          <cell r="H70" t="str">
            <v>Direct Labour Wage</v>
          </cell>
          <cell r="I70">
            <v>0</v>
          </cell>
          <cell r="J70" t="str">
            <v>UNIT-2</v>
          </cell>
          <cell r="K70" t="str">
            <v>Bushing</v>
          </cell>
          <cell r="L70" t="str">
            <v>Assembly - 01</v>
          </cell>
          <cell r="M70" t="str">
            <v>Helper</v>
          </cell>
          <cell r="N70">
            <v>46041</v>
          </cell>
          <cell r="O70">
            <v>0.12602739726027398</v>
          </cell>
          <cell r="P70" t="str">
            <v>S</v>
          </cell>
          <cell r="Q70">
            <v>0</v>
          </cell>
          <cell r="R70">
            <v>5</v>
          </cell>
          <cell r="S70" t="str">
            <v>T</v>
          </cell>
          <cell r="T70">
            <v>0</v>
          </cell>
          <cell r="U70">
            <v>0</v>
          </cell>
          <cell r="V70" t="str">
            <v>T</v>
          </cell>
          <cell r="W70">
            <v>0</v>
          </cell>
          <cell r="X70">
            <v>0</v>
          </cell>
          <cell r="Y70" t="str">
            <v>T</v>
          </cell>
          <cell r="Z70">
            <v>0</v>
          </cell>
          <cell r="AA70">
            <v>0</v>
          </cell>
          <cell r="AB70" t="str">
            <v>P</v>
          </cell>
          <cell r="AC70">
            <v>0</v>
          </cell>
          <cell r="AD70">
            <v>1.5</v>
          </cell>
          <cell r="AE70" t="str">
            <v>T</v>
          </cell>
          <cell r="AF70">
            <v>0</v>
          </cell>
          <cell r="AG70">
            <v>0</v>
          </cell>
          <cell r="AH70" t="str">
            <v>T</v>
          </cell>
          <cell r="AI70">
            <v>0</v>
          </cell>
          <cell r="AJ70">
            <v>0</v>
          </cell>
          <cell r="AK70" t="str">
            <v>S</v>
          </cell>
          <cell r="AL70">
            <v>0</v>
          </cell>
          <cell r="AM70">
            <v>0</v>
          </cell>
          <cell r="AN70" t="str">
            <v>T</v>
          </cell>
          <cell r="AO70">
            <v>0</v>
          </cell>
          <cell r="AP70">
            <v>0</v>
          </cell>
          <cell r="AQ70" t="str">
            <v>T</v>
          </cell>
          <cell r="AR70">
            <v>0</v>
          </cell>
          <cell r="AS70">
            <v>0</v>
          </cell>
          <cell r="AT70" t="str">
            <v>T</v>
          </cell>
          <cell r="AU70">
            <v>0</v>
          </cell>
          <cell r="AV70">
            <v>0</v>
          </cell>
          <cell r="AW70" t="str">
            <v>T</v>
          </cell>
          <cell r="AX70">
            <v>0</v>
          </cell>
          <cell r="AY70">
            <v>0</v>
          </cell>
          <cell r="AZ70" t="str">
            <v>T</v>
          </cell>
          <cell r="BA70">
            <v>0</v>
          </cell>
          <cell r="BB70">
            <v>0</v>
          </cell>
          <cell r="BC70" t="str">
            <v>T</v>
          </cell>
          <cell r="BD70">
            <v>0</v>
          </cell>
          <cell r="BE70">
            <v>0</v>
          </cell>
          <cell r="BF70" t="str">
            <v>T</v>
          </cell>
          <cell r="BG70">
            <v>0</v>
          </cell>
          <cell r="BH70">
            <v>0</v>
          </cell>
          <cell r="BI70" t="str">
            <v>T</v>
          </cell>
          <cell r="BJ70">
            <v>0</v>
          </cell>
          <cell r="BK70">
            <v>0</v>
          </cell>
          <cell r="BL70" t="str">
            <v>T</v>
          </cell>
          <cell r="BM70">
            <v>0</v>
          </cell>
          <cell r="BN70">
            <v>0</v>
          </cell>
          <cell r="BO70" t="str">
            <v>T</v>
          </cell>
          <cell r="BP70">
            <v>0</v>
          </cell>
          <cell r="BQ70">
            <v>0</v>
          </cell>
          <cell r="BR70" t="str">
            <v>T</v>
          </cell>
          <cell r="BS70">
            <v>0</v>
          </cell>
          <cell r="BT70">
            <v>0</v>
          </cell>
          <cell r="BU70" t="str">
            <v>T</v>
          </cell>
          <cell r="BV70">
            <v>0</v>
          </cell>
          <cell r="BW70">
            <v>0</v>
          </cell>
          <cell r="BX70" t="str">
            <v>T</v>
          </cell>
          <cell r="BY70">
            <v>0</v>
          </cell>
          <cell r="BZ70">
            <v>0</v>
          </cell>
          <cell r="CA70" t="str">
            <v>T</v>
          </cell>
          <cell r="CB70">
            <v>0</v>
          </cell>
          <cell r="CC70">
            <v>0</v>
          </cell>
          <cell r="CD70" t="str">
            <v>T</v>
          </cell>
          <cell r="CE70">
            <v>0</v>
          </cell>
          <cell r="CF70">
            <v>0</v>
          </cell>
          <cell r="CG70" t="str">
            <v>T</v>
          </cell>
          <cell r="CH70">
            <v>0</v>
          </cell>
          <cell r="CI70">
            <v>0</v>
          </cell>
          <cell r="CJ70" t="str">
            <v>T</v>
          </cell>
          <cell r="CK70">
            <v>0</v>
          </cell>
          <cell r="CL70">
            <v>0</v>
          </cell>
          <cell r="CM70" t="str">
            <v>T</v>
          </cell>
          <cell r="CN70">
            <v>0</v>
          </cell>
          <cell r="CO70">
            <v>0</v>
          </cell>
          <cell r="CP70" t="str">
            <v>T</v>
          </cell>
          <cell r="CQ70">
            <v>0</v>
          </cell>
          <cell r="CR70">
            <v>0</v>
          </cell>
          <cell r="CS70" t="str">
            <v>T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1</v>
          </cell>
          <cell r="DG70">
            <v>0</v>
          </cell>
          <cell r="DH70">
            <v>6.5</v>
          </cell>
          <cell r="DI70">
            <v>0</v>
          </cell>
          <cell r="DJ70">
            <v>0</v>
          </cell>
          <cell r="DK70">
            <v>0</v>
          </cell>
          <cell r="DL70">
            <v>2</v>
          </cell>
          <cell r="DM70">
            <v>1</v>
          </cell>
          <cell r="DN70">
            <v>28</v>
          </cell>
          <cell r="DO70">
            <v>25</v>
          </cell>
          <cell r="DP70">
            <v>0</v>
          </cell>
          <cell r="DQ70">
            <v>0</v>
          </cell>
          <cell r="DR70">
            <v>0</v>
          </cell>
        </row>
        <row r="71">
          <cell r="D71" t="str">
            <v>SHE429</v>
          </cell>
          <cell r="E71">
            <v>0</v>
          </cell>
          <cell r="F71">
            <v>0</v>
          </cell>
          <cell r="G71" t="str">
            <v>Dharmendra Nandlal Saroj</v>
          </cell>
          <cell r="H71" t="str">
            <v>Direct Labour Wage</v>
          </cell>
          <cell r="I71">
            <v>0</v>
          </cell>
          <cell r="J71" t="str">
            <v>UNIT-2</v>
          </cell>
          <cell r="K71" t="str">
            <v>Bushing</v>
          </cell>
          <cell r="L71" t="str">
            <v>Assembly</v>
          </cell>
          <cell r="M71" t="str">
            <v>Operator</v>
          </cell>
          <cell r="N71">
            <v>46044</v>
          </cell>
          <cell r="O71">
            <v>0.11780821917808219</v>
          </cell>
          <cell r="P71" t="str">
            <v>S</v>
          </cell>
          <cell r="Q71">
            <v>0</v>
          </cell>
          <cell r="R71">
            <v>5</v>
          </cell>
          <cell r="S71" t="str">
            <v>T</v>
          </cell>
          <cell r="T71">
            <v>0</v>
          </cell>
          <cell r="U71">
            <v>0</v>
          </cell>
          <cell r="V71" t="str">
            <v>T</v>
          </cell>
          <cell r="W71">
            <v>0</v>
          </cell>
          <cell r="X71">
            <v>0</v>
          </cell>
          <cell r="Y71" t="str">
            <v>T</v>
          </cell>
          <cell r="Z71">
            <v>0</v>
          </cell>
          <cell r="AA71">
            <v>0</v>
          </cell>
          <cell r="AB71" t="str">
            <v>P</v>
          </cell>
          <cell r="AC71">
            <v>0</v>
          </cell>
          <cell r="AD71">
            <v>1.5</v>
          </cell>
          <cell r="AE71" t="str">
            <v>T</v>
          </cell>
          <cell r="AF71">
            <v>0</v>
          </cell>
          <cell r="AG71">
            <v>0</v>
          </cell>
          <cell r="AH71" t="str">
            <v>T</v>
          </cell>
          <cell r="AI71">
            <v>0</v>
          </cell>
          <cell r="AJ71">
            <v>0</v>
          </cell>
          <cell r="AK71" t="str">
            <v>S</v>
          </cell>
          <cell r="AL71">
            <v>0</v>
          </cell>
          <cell r="AM71">
            <v>0</v>
          </cell>
          <cell r="AN71" t="str">
            <v>T</v>
          </cell>
          <cell r="AO71">
            <v>0</v>
          </cell>
          <cell r="AP71">
            <v>0</v>
          </cell>
          <cell r="AQ71" t="str">
            <v>T</v>
          </cell>
          <cell r="AR71">
            <v>0</v>
          </cell>
          <cell r="AS71">
            <v>0</v>
          </cell>
          <cell r="AT71" t="str">
            <v>T</v>
          </cell>
          <cell r="AU71">
            <v>0</v>
          </cell>
          <cell r="AV71">
            <v>0</v>
          </cell>
          <cell r="AW71" t="str">
            <v>T</v>
          </cell>
          <cell r="AX71">
            <v>0</v>
          </cell>
          <cell r="AY71">
            <v>0</v>
          </cell>
          <cell r="AZ71" t="str">
            <v>T</v>
          </cell>
          <cell r="BA71">
            <v>0</v>
          </cell>
          <cell r="BB71">
            <v>0</v>
          </cell>
          <cell r="BC71" t="str">
            <v>T</v>
          </cell>
          <cell r="BD71">
            <v>0</v>
          </cell>
          <cell r="BE71">
            <v>0</v>
          </cell>
          <cell r="BF71" t="str">
            <v>T</v>
          </cell>
          <cell r="BG71">
            <v>0</v>
          </cell>
          <cell r="BH71">
            <v>0</v>
          </cell>
          <cell r="BI71" t="str">
            <v>T</v>
          </cell>
          <cell r="BJ71">
            <v>0</v>
          </cell>
          <cell r="BK71">
            <v>0</v>
          </cell>
          <cell r="BL71" t="str">
            <v>T</v>
          </cell>
          <cell r="BM71">
            <v>0</v>
          </cell>
          <cell r="BN71">
            <v>0</v>
          </cell>
          <cell r="BO71" t="str">
            <v>T</v>
          </cell>
          <cell r="BP71">
            <v>0</v>
          </cell>
          <cell r="BQ71">
            <v>0</v>
          </cell>
          <cell r="BR71" t="str">
            <v>T</v>
          </cell>
          <cell r="BS71">
            <v>0</v>
          </cell>
          <cell r="BT71">
            <v>0</v>
          </cell>
          <cell r="BU71" t="str">
            <v>T</v>
          </cell>
          <cell r="BV71">
            <v>0</v>
          </cell>
          <cell r="BW71">
            <v>0</v>
          </cell>
          <cell r="BX71" t="str">
            <v>T</v>
          </cell>
          <cell r="BY71">
            <v>0</v>
          </cell>
          <cell r="BZ71">
            <v>0</v>
          </cell>
          <cell r="CA71" t="str">
            <v>T</v>
          </cell>
          <cell r="CB71">
            <v>0</v>
          </cell>
          <cell r="CC71">
            <v>0</v>
          </cell>
          <cell r="CD71" t="str">
            <v>T</v>
          </cell>
          <cell r="CE71">
            <v>0</v>
          </cell>
          <cell r="CF71">
            <v>0</v>
          </cell>
          <cell r="CG71" t="str">
            <v>T</v>
          </cell>
          <cell r="CH71">
            <v>0</v>
          </cell>
          <cell r="CI71">
            <v>0</v>
          </cell>
          <cell r="CJ71" t="str">
            <v>T</v>
          </cell>
          <cell r="CK71">
            <v>0</v>
          </cell>
          <cell r="CL71">
            <v>0</v>
          </cell>
          <cell r="CM71" t="str">
            <v>T</v>
          </cell>
          <cell r="CN71">
            <v>0</v>
          </cell>
          <cell r="CO71">
            <v>0</v>
          </cell>
          <cell r="CP71" t="str">
            <v>T</v>
          </cell>
          <cell r="CQ71">
            <v>0</v>
          </cell>
          <cell r="CR71">
            <v>0</v>
          </cell>
          <cell r="CS71" t="str">
            <v>T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1</v>
          </cell>
          <cell r="DG71">
            <v>0</v>
          </cell>
          <cell r="DH71">
            <v>6.5</v>
          </cell>
          <cell r="DI71">
            <v>0</v>
          </cell>
          <cell r="DJ71">
            <v>0</v>
          </cell>
          <cell r="DK71">
            <v>0</v>
          </cell>
          <cell r="DL71">
            <v>2</v>
          </cell>
          <cell r="DM71">
            <v>1</v>
          </cell>
          <cell r="DN71">
            <v>28</v>
          </cell>
          <cell r="DO71">
            <v>25</v>
          </cell>
          <cell r="DP71">
            <v>0</v>
          </cell>
          <cell r="DQ71">
            <v>0</v>
          </cell>
          <cell r="DR71">
            <v>0</v>
          </cell>
        </row>
        <row r="72">
          <cell r="D72" t="str">
            <v>SHE430</v>
          </cell>
          <cell r="E72">
            <v>0</v>
          </cell>
          <cell r="F72">
            <v>0</v>
          </cell>
          <cell r="G72" t="str">
            <v>Vijay Bahadur Ramdas</v>
          </cell>
          <cell r="H72" t="str">
            <v>Direct Labour Wage</v>
          </cell>
          <cell r="I72">
            <v>0</v>
          </cell>
          <cell r="J72" t="str">
            <v>UNIT-2</v>
          </cell>
          <cell r="K72" t="str">
            <v>Bushing</v>
          </cell>
          <cell r="L72" t="str">
            <v>Assembly</v>
          </cell>
          <cell r="M72" t="str">
            <v>Operator</v>
          </cell>
          <cell r="N72">
            <v>46046</v>
          </cell>
          <cell r="O72">
            <v>0.11232876712328767</v>
          </cell>
          <cell r="P72" t="str">
            <v>S</v>
          </cell>
          <cell r="Q72">
            <v>0</v>
          </cell>
          <cell r="R72">
            <v>5</v>
          </cell>
          <cell r="S72" t="str">
            <v>T</v>
          </cell>
          <cell r="T72">
            <v>0</v>
          </cell>
          <cell r="U72">
            <v>0</v>
          </cell>
          <cell r="V72" t="str">
            <v>T</v>
          </cell>
          <cell r="W72">
            <v>0</v>
          </cell>
          <cell r="X72">
            <v>0</v>
          </cell>
          <cell r="Y72" t="str">
            <v>P</v>
          </cell>
          <cell r="Z72">
            <v>0</v>
          </cell>
          <cell r="AA72">
            <v>0</v>
          </cell>
          <cell r="AB72" t="str">
            <v>P</v>
          </cell>
          <cell r="AC72">
            <v>0</v>
          </cell>
          <cell r="AD72">
            <v>1.5</v>
          </cell>
          <cell r="AE72" t="str">
            <v>T</v>
          </cell>
          <cell r="AF72">
            <v>0</v>
          </cell>
          <cell r="AG72">
            <v>0</v>
          </cell>
          <cell r="AH72" t="str">
            <v>T</v>
          </cell>
          <cell r="AI72">
            <v>0</v>
          </cell>
          <cell r="AJ72">
            <v>0</v>
          </cell>
          <cell r="AK72" t="str">
            <v>S</v>
          </cell>
          <cell r="AL72">
            <v>0</v>
          </cell>
          <cell r="AM72">
            <v>0</v>
          </cell>
          <cell r="AN72" t="str">
            <v>T</v>
          </cell>
          <cell r="AO72">
            <v>0</v>
          </cell>
          <cell r="AP72">
            <v>0</v>
          </cell>
          <cell r="AQ72" t="str">
            <v>T</v>
          </cell>
          <cell r="AR72">
            <v>0</v>
          </cell>
          <cell r="AS72">
            <v>0</v>
          </cell>
          <cell r="AT72" t="str">
            <v>T</v>
          </cell>
          <cell r="AU72">
            <v>0</v>
          </cell>
          <cell r="AV72">
            <v>0</v>
          </cell>
          <cell r="AW72" t="str">
            <v>T</v>
          </cell>
          <cell r="AX72">
            <v>0</v>
          </cell>
          <cell r="AY72">
            <v>0</v>
          </cell>
          <cell r="AZ72" t="str">
            <v>T</v>
          </cell>
          <cell r="BA72">
            <v>0</v>
          </cell>
          <cell r="BB72">
            <v>0</v>
          </cell>
          <cell r="BC72" t="str">
            <v>T</v>
          </cell>
          <cell r="BD72">
            <v>0</v>
          </cell>
          <cell r="BE72">
            <v>0</v>
          </cell>
          <cell r="BF72" t="str">
            <v>T</v>
          </cell>
          <cell r="BG72">
            <v>0</v>
          </cell>
          <cell r="BH72">
            <v>0</v>
          </cell>
          <cell r="BI72" t="str">
            <v>T</v>
          </cell>
          <cell r="BJ72">
            <v>0</v>
          </cell>
          <cell r="BK72">
            <v>0</v>
          </cell>
          <cell r="BL72" t="str">
            <v>T</v>
          </cell>
          <cell r="BM72">
            <v>0</v>
          </cell>
          <cell r="BN72">
            <v>0</v>
          </cell>
          <cell r="BO72" t="str">
            <v>T</v>
          </cell>
          <cell r="BP72">
            <v>0</v>
          </cell>
          <cell r="BQ72">
            <v>0</v>
          </cell>
          <cell r="BR72" t="str">
            <v>T</v>
          </cell>
          <cell r="BS72">
            <v>0</v>
          </cell>
          <cell r="BT72">
            <v>0</v>
          </cell>
          <cell r="BU72" t="str">
            <v>HD</v>
          </cell>
          <cell r="BV72">
            <v>0</v>
          </cell>
          <cell r="BW72">
            <v>1</v>
          </cell>
          <cell r="BX72" t="str">
            <v>T</v>
          </cell>
          <cell r="BY72">
            <v>0</v>
          </cell>
          <cell r="BZ72">
            <v>0</v>
          </cell>
          <cell r="CA72" t="str">
            <v>T</v>
          </cell>
          <cell r="CB72">
            <v>0</v>
          </cell>
          <cell r="CC72">
            <v>0</v>
          </cell>
          <cell r="CD72" t="str">
            <v>T</v>
          </cell>
          <cell r="CE72">
            <v>0</v>
          </cell>
          <cell r="CF72">
            <v>0</v>
          </cell>
          <cell r="CG72" t="str">
            <v>T</v>
          </cell>
          <cell r="CH72">
            <v>0</v>
          </cell>
          <cell r="CI72">
            <v>0</v>
          </cell>
          <cell r="CJ72" t="str">
            <v>T</v>
          </cell>
          <cell r="CK72">
            <v>0</v>
          </cell>
          <cell r="CL72">
            <v>0</v>
          </cell>
          <cell r="CM72" t="str">
            <v>T</v>
          </cell>
          <cell r="CN72">
            <v>0</v>
          </cell>
          <cell r="CO72">
            <v>0</v>
          </cell>
          <cell r="CP72" t="str">
            <v>T</v>
          </cell>
          <cell r="CQ72">
            <v>0</v>
          </cell>
          <cell r="CR72">
            <v>0</v>
          </cell>
          <cell r="CS72" t="str">
            <v>T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0.5</v>
          </cell>
          <cell r="DF72">
            <v>2.5</v>
          </cell>
          <cell r="DG72">
            <v>0</v>
          </cell>
          <cell r="DH72">
            <v>7.5</v>
          </cell>
          <cell r="DI72">
            <v>0.5</v>
          </cell>
          <cell r="DJ72">
            <v>0</v>
          </cell>
          <cell r="DK72">
            <v>0</v>
          </cell>
          <cell r="DL72">
            <v>2</v>
          </cell>
          <cell r="DM72">
            <v>2.5</v>
          </cell>
          <cell r="DN72">
            <v>28</v>
          </cell>
          <cell r="DO72">
            <v>23</v>
          </cell>
          <cell r="DP72">
            <v>0</v>
          </cell>
          <cell r="DQ72">
            <v>0</v>
          </cell>
          <cell r="DR72">
            <v>0</v>
          </cell>
        </row>
        <row r="73">
          <cell r="D73" t="str">
            <v>SHE434</v>
          </cell>
          <cell r="E73">
            <v>0</v>
          </cell>
          <cell r="F73">
            <v>0</v>
          </cell>
          <cell r="G73" t="str">
            <v>Rutvikkumar Budhabhai Jadav</v>
          </cell>
          <cell r="H73" t="str">
            <v>Direct Labour Wage</v>
          </cell>
          <cell r="I73">
            <v>0</v>
          </cell>
          <cell r="J73" t="str">
            <v>UNIT-2</v>
          </cell>
          <cell r="K73" t="str">
            <v>MV</v>
          </cell>
          <cell r="L73" t="str">
            <v>Casting</v>
          </cell>
          <cell r="M73" t="str">
            <v>Helper</v>
          </cell>
          <cell r="N73">
            <v>46056</v>
          </cell>
          <cell r="O73">
            <v>8.4931506849315067E-2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>P</v>
          </cell>
          <cell r="W73">
            <v>0</v>
          </cell>
          <cell r="X73">
            <v>0</v>
          </cell>
          <cell r="Y73" t="str">
            <v>P</v>
          </cell>
          <cell r="Z73">
            <v>0</v>
          </cell>
          <cell r="AA73">
            <v>0</v>
          </cell>
          <cell r="AB73" t="str">
            <v>P</v>
          </cell>
          <cell r="AC73">
            <v>0</v>
          </cell>
          <cell r="AD73">
            <v>0</v>
          </cell>
          <cell r="AE73" t="str">
            <v>A</v>
          </cell>
          <cell r="AF73">
            <v>0</v>
          </cell>
          <cell r="AG73">
            <v>0</v>
          </cell>
          <cell r="AH73" t="str">
            <v>P</v>
          </cell>
          <cell r="AI73">
            <v>0</v>
          </cell>
          <cell r="AJ73">
            <v>0</v>
          </cell>
          <cell r="AK73" t="str">
            <v>S</v>
          </cell>
          <cell r="AL73">
            <v>0</v>
          </cell>
          <cell r="AM73">
            <v>0</v>
          </cell>
          <cell r="AN73" t="str">
            <v>P</v>
          </cell>
          <cell r="AO73">
            <v>0</v>
          </cell>
          <cell r="AP73">
            <v>0</v>
          </cell>
          <cell r="AQ73" t="str">
            <v>A</v>
          </cell>
          <cell r="AR73">
            <v>0</v>
          </cell>
          <cell r="AS73">
            <v>0</v>
          </cell>
          <cell r="AT73" t="str">
            <v>A</v>
          </cell>
          <cell r="AU73">
            <v>0</v>
          </cell>
          <cell r="AV73">
            <v>0</v>
          </cell>
          <cell r="AW73" t="str">
            <v>A</v>
          </cell>
          <cell r="AX73">
            <v>0</v>
          </cell>
          <cell r="AY73">
            <v>0</v>
          </cell>
          <cell r="AZ73" t="str">
            <v>P</v>
          </cell>
          <cell r="BA73">
            <v>0</v>
          </cell>
          <cell r="BB73">
            <v>0</v>
          </cell>
          <cell r="BC73" t="str">
            <v>P</v>
          </cell>
          <cell r="BD73">
            <v>0</v>
          </cell>
          <cell r="BE73">
            <v>0</v>
          </cell>
          <cell r="BF73" t="str">
            <v>S</v>
          </cell>
          <cell r="BG73">
            <v>0</v>
          </cell>
          <cell r="BH73">
            <v>0</v>
          </cell>
          <cell r="BI73" t="str">
            <v>P</v>
          </cell>
          <cell r="BJ73">
            <v>0</v>
          </cell>
          <cell r="BK73">
            <v>0</v>
          </cell>
          <cell r="BL73" t="str">
            <v>P</v>
          </cell>
          <cell r="BM73">
            <v>0</v>
          </cell>
          <cell r="BN73">
            <v>0</v>
          </cell>
          <cell r="BO73" t="str">
            <v>P</v>
          </cell>
          <cell r="BP73">
            <v>0</v>
          </cell>
          <cell r="BQ73">
            <v>0</v>
          </cell>
          <cell r="BR73" t="str">
            <v>A</v>
          </cell>
          <cell r="BS73">
            <v>0</v>
          </cell>
          <cell r="BT73">
            <v>0</v>
          </cell>
          <cell r="BU73" t="str">
            <v>P</v>
          </cell>
          <cell r="BV73">
            <v>0</v>
          </cell>
          <cell r="BW73">
            <v>0</v>
          </cell>
          <cell r="BX73" t="str">
            <v>P</v>
          </cell>
          <cell r="BY73">
            <v>0</v>
          </cell>
          <cell r="BZ73">
            <v>0</v>
          </cell>
          <cell r="CA73" t="str">
            <v>S</v>
          </cell>
          <cell r="CB73">
            <v>0</v>
          </cell>
          <cell r="CC73">
            <v>0</v>
          </cell>
          <cell r="CD73" t="str">
            <v>P</v>
          </cell>
          <cell r="CE73">
            <v>0</v>
          </cell>
          <cell r="CF73">
            <v>0</v>
          </cell>
          <cell r="CG73" t="str">
            <v>P</v>
          </cell>
          <cell r="CH73">
            <v>0</v>
          </cell>
          <cell r="CI73">
            <v>0</v>
          </cell>
          <cell r="CJ73" t="str">
            <v>P</v>
          </cell>
          <cell r="CK73">
            <v>0</v>
          </cell>
          <cell r="CL73">
            <v>0</v>
          </cell>
          <cell r="CM73" t="str">
            <v>A</v>
          </cell>
          <cell r="CN73">
            <v>0</v>
          </cell>
          <cell r="CO73">
            <v>2</v>
          </cell>
          <cell r="CP73" t="str">
            <v>A</v>
          </cell>
          <cell r="CQ73">
            <v>0</v>
          </cell>
          <cell r="CR73">
            <v>0</v>
          </cell>
          <cell r="CS73" t="str">
            <v>A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15</v>
          </cell>
          <cell r="DG73">
            <v>0</v>
          </cell>
          <cell r="DH73">
            <v>2</v>
          </cell>
          <cell r="DI73">
            <v>8</v>
          </cell>
          <cell r="DJ73">
            <v>0</v>
          </cell>
          <cell r="DK73">
            <v>0</v>
          </cell>
          <cell r="DL73">
            <v>3</v>
          </cell>
          <cell r="DM73">
            <v>15</v>
          </cell>
          <cell r="DN73">
            <v>26</v>
          </cell>
          <cell r="DO73">
            <v>0</v>
          </cell>
          <cell r="DP73">
            <v>10</v>
          </cell>
          <cell r="DQ73">
            <v>350</v>
          </cell>
          <cell r="DR73">
            <v>0</v>
          </cell>
        </row>
        <row r="74">
          <cell r="D74" t="str">
            <v>SHE435</v>
          </cell>
          <cell r="E74">
            <v>0</v>
          </cell>
          <cell r="F74">
            <v>0</v>
          </cell>
          <cell r="G74" t="str">
            <v>Vanrajsinh Laxmansinh Sindha</v>
          </cell>
          <cell r="H74" t="str">
            <v>Direct Labour Wage</v>
          </cell>
          <cell r="I74">
            <v>0</v>
          </cell>
          <cell r="J74" t="str">
            <v>UNIT-2</v>
          </cell>
          <cell r="K74" t="str">
            <v>MV</v>
          </cell>
          <cell r="L74" t="str">
            <v>Assembly</v>
          </cell>
          <cell r="M74" t="str">
            <v>Helper</v>
          </cell>
          <cell r="N74">
            <v>46056</v>
          </cell>
          <cell r="O74">
            <v>8.4931506849315067E-2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 t="str">
            <v>P</v>
          </cell>
          <cell r="W74">
            <v>0</v>
          </cell>
          <cell r="X74">
            <v>0</v>
          </cell>
          <cell r="Y74" t="str">
            <v>P</v>
          </cell>
          <cell r="Z74">
            <v>0</v>
          </cell>
          <cell r="AA74">
            <v>0</v>
          </cell>
          <cell r="AB74" t="str">
            <v>A</v>
          </cell>
          <cell r="AC74">
            <v>0</v>
          </cell>
          <cell r="AD74">
            <v>0</v>
          </cell>
          <cell r="AE74" t="str">
            <v>A</v>
          </cell>
          <cell r="AF74">
            <v>0</v>
          </cell>
          <cell r="AG74">
            <v>0</v>
          </cell>
          <cell r="AH74" t="str">
            <v>A</v>
          </cell>
          <cell r="AI74">
            <v>0</v>
          </cell>
          <cell r="AJ74">
            <v>0</v>
          </cell>
          <cell r="AK74" t="str">
            <v>S</v>
          </cell>
          <cell r="AL74">
            <v>0</v>
          </cell>
          <cell r="AM74">
            <v>0</v>
          </cell>
          <cell r="AN74" t="str">
            <v>P</v>
          </cell>
          <cell r="AO74">
            <v>0</v>
          </cell>
          <cell r="AP74">
            <v>0</v>
          </cell>
          <cell r="AQ74" t="str">
            <v>A</v>
          </cell>
          <cell r="AR74">
            <v>0</v>
          </cell>
          <cell r="AS74">
            <v>0</v>
          </cell>
          <cell r="AT74" t="str">
            <v>P</v>
          </cell>
          <cell r="AU74">
            <v>0</v>
          </cell>
          <cell r="AV74">
            <v>0</v>
          </cell>
          <cell r="AW74" t="str">
            <v>A</v>
          </cell>
          <cell r="AX74">
            <v>0</v>
          </cell>
          <cell r="AY74">
            <v>0</v>
          </cell>
          <cell r="AZ74" t="str">
            <v>P</v>
          </cell>
          <cell r="BA74">
            <v>0</v>
          </cell>
          <cell r="BB74">
            <v>0</v>
          </cell>
          <cell r="BC74" t="str">
            <v>P</v>
          </cell>
          <cell r="BD74">
            <v>0</v>
          </cell>
          <cell r="BE74">
            <v>0</v>
          </cell>
          <cell r="BF74" t="str">
            <v>S</v>
          </cell>
          <cell r="BG74">
            <v>0</v>
          </cell>
          <cell r="BH74">
            <v>0</v>
          </cell>
          <cell r="BI74" t="str">
            <v>P</v>
          </cell>
          <cell r="BJ74">
            <v>0</v>
          </cell>
          <cell r="BK74">
            <v>0</v>
          </cell>
          <cell r="BL74" t="str">
            <v>P</v>
          </cell>
          <cell r="BM74">
            <v>0</v>
          </cell>
          <cell r="BN74">
            <v>0</v>
          </cell>
          <cell r="BO74" t="str">
            <v>P</v>
          </cell>
          <cell r="BP74">
            <v>0</v>
          </cell>
          <cell r="BQ74">
            <v>0</v>
          </cell>
          <cell r="BR74" t="str">
            <v>P</v>
          </cell>
          <cell r="BS74">
            <v>0</v>
          </cell>
          <cell r="BT74">
            <v>0</v>
          </cell>
          <cell r="BU74" t="str">
            <v>P</v>
          </cell>
          <cell r="BV74">
            <v>0</v>
          </cell>
          <cell r="BW74">
            <v>0</v>
          </cell>
          <cell r="BX74" t="str">
            <v>P</v>
          </cell>
          <cell r="BY74">
            <v>0</v>
          </cell>
          <cell r="BZ74">
            <v>0</v>
          </cell>
          <cell r="CA74" t="str">
            <v>S</v>
          </cell>
          <cell r="CB74">
            <v>0</v>
          </cell>
          <cell r="CC74">
            <v>0</v>
          </cell>
          <cell r="CD74" t="str">
            <v>P</v>
          </cell>
          <cell r="CE74">
            <v>0</v>
          </cell>
          <cell r="CF74">
            <v>0</v>
          </cell>
          <cell r="CG74" t="str">
            <v>A</v>
          </cell>
          <cell r="CH74">
            <v>0</v>
          </cell>
          <cell r="CI74">
            <v>0</v>
          </cell>
          <cell r="CJ74" t="str">
            <v>P</v>
          </cell>
          <cell r="CK74">
            <v>0</v>
          </cell>
          <cell r="CL74">
            <v>0</v>
          </cell>
          <cell r="CM74" t="str">
            <v>P</v>
          </cell>
          <cell r="CN74">
            <v>0</v>
          </cell>
          <cell r="CO74">
            <v>0</v>
          </cell>
          <cell r="CP74" t="str">
            <v>P</v>
          </cell>
          <cell r="CQ74">
            <v>0</v>
          </cell>
          <cell r="CR74">
            <v>0</v>
          </cell>
          <cell r="CS74" t="str">
            <v>P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17</v>
          </cell>
          <cell r="DG74">
            <v>0</v>
          </cell>
          <cell r="DH74">
            <v>0</v>
          </cell>
          <cell r="DI74">
            <v>6</v>
          </cell>
          <cell r="DJ74">
            <v>0</v>
          </cell>
          <cell r="DK74">
            <v>0</v>
          </cell>
          <cell r="DL74">
            <v>3</v>
          </cell>
          <cell r="DM74">
            <v>17</v>
          </cell>
          <cell r="DN74">
            <v>26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</row>
        <row r="75">
          <cell r="D75" t="str">
            <v>SHE437</v>
          </cell>
          <cell r="E75">
            <v>0</v>
          </cell>
          <cell r="F75">
            <v>0</v>
          </cell>
          <cell r="G75" t="str">
            <v>Mahida Hitesh Vanrajsinh</v>
          </cell>
          <cell r="H75" t="str">
            <v>Direct Labour Wage</v>
          </cell>
          <cell r="I75">
            <v>0</v>
          </cell>
          <cell r="J75" t="str">
            <v>UNIT-2</v>
          </cell>
          <cell r="K75" t="str">
            <v>MV</v>
          </cell>
          <cell r="L75" t="str">
            <v>Casting</v>
          </cell>
          <cell r="M75" t="str">
            <v>Helper</v>
          </cell>
          <cell r="N75">
            <v>46058</v>
          </cell>
          <cell r="O75">
            <v>7.9452054794520555E-2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 t="str">
            <v>P</v>
          </cell>
          <cell r="AC75">
            <v>0</v>
          </cell>
          <cell r="AD75">
            <v>0</v>
          </cell>
          <cell r="AE75" t="str">
            <v>P</v>
          </cell>
          <cell r="AF75">
            <v>0</v>
          </cell>
          <cell r="AG75">
            <v>0</v>
          </cell>
          <cell r="AH75" t="str">
            <v>A</v>
          </cell>
          <cell r="AI75">
            <v>0</v>
          </cell>
          <cell r="AJ75">
            <v>0</v>
          </cell>
          <cell r="AK75" t="str">
            <v>S</v>
          </cell>
          <cell r="AL75">
            <v>0</v>
          </cell>
          <cell r="AM75">
            <v>0</v>
          </cell>
          <cell r="AN75" t="str">
            <v>P</v>
          </cell>
          <cell r="AO75">
            <v>0</v>
          </cell>
          <cell r="AP75">
            <v>0</v>
          </cell>
          <cell r="AQ75" t="str">
            <v>A</v>
          </cell>
          <cell r="AR75">
            <v>0</v>
          </cell>
          <cell r="AS75">
            <v>0</v>
          </cell>
          <cell r="AT75" t="str">
            <v>A</v>
          </cell>
          <cell r="AU75">
            <v>0</v>
          </cell>
          <cell r="AV75">
            <v>0</v>
          </cell>
          <cell r="AW75" t="str">
            <v>A</v>
          </cell>
          <cell r="AX75">
            <v>0</v>
          </cell>
          <cell r="AY75">
            <v>0</v>
          </cell>
          <cell r="AZ75" t="str">
            <v>A</v>
          </cell>
          <cell r="BA75">
            <v>0</v>
          </cell>
          <cell r="BB75">
            <v>0</v>
          </cell>
          <cell r="BC75" t="str">
            <v>A</v>
          </cell>
          <cell r="BD75">
            <v>0</v>
          </cell>
          <cell r="BE75">
            <v>0</v>
          </cell>
          <cell r="BF75" t="str">
            <v>S</v>
          </cell>
          <cell r="BG75">
            <v>0</v>
          </cell>
          <cell r="BH75">
            <v>0</v>
          </cell>
          <cell r="BI75" t="str">
            <v>P</v>
          </cell>
          <cell r="BJ75">
            <v>0</v>
          </cell>
          <cell r="BK75">
            <v>0</v>
          </cell>
          <cell r="BL75" t="str">
            <v>A</v>
          </cell>
          <cell r="BM75">
            <v>0</v>
          </cell>
          <cell r="BN75">
            <v>0</v>
          </cell>
          <cell r="BO75" t="str">
            <v>A</v>
          </cell>
          <cell r="BP75">
            <v>0</v>
          </cell>
          <cell r="BQ75">
            <v>0</v>
          </cell>
          <cell r="BR75" t="str">
            <v>A</v>
          </cell>
          <cell r="BS75">
            <v>0</v>
          </cell>
          <cell r="BT75">
            <v>0</v>
          </cell>
          <cell r="BU75" t="str">
            <v>A</v>
          </cell>
          <cell r="BV75">
            <v>0</v>
          </cell>
          <cell r="BW75">
            <v>0</v>
          </cell>
          <cell r="BX75" t="str">
            <v>A</v>
          </cell>
          <cell r="BY75">
            <v>0</v>
          </cell>
          <cell r="BZ75">
            <v>0</v>
          </cell>
          <cell r="CA75" t="str">
            <v>A</v>
          </cell>
          <cell r="CB75">
            <v>0</v>
          </cell>
          <cell r="CC75">
            <v>0</v>
          </cell>
          <cell r="CD75" t="str">
            <v>A</v>
          </cell>
          <cell r="CE75">
            <v>0</v>
          </cell>
          <cell r="CF75">
            <v>0</v>
          </cell>
          <cell r="CG75" t="str">
            <v>A</v>
          </cell>
          <cell r="CH75">
            <v>0</v>
          </cell>
          <cell r="CI75">
            <v>0</v>
          </cell>
          <cell r="CJ75" t="str">
            <v>A</v>
          </cell>
          <cell r="CK75">
            <v>0</v>
          </cell>
          <cell r="CL75">
            <v>0</v>
          </cell>
          <cell r="CM75" t="str">
            <v>A</v>
          </cell>
          <cell r="CN75">
            <v>0</v>
          </cell>
          <cell r="CO75">
            <v>0</v>
          </cell>
          <cell r="CP75" t="str">
            <v>A</v>
          </cell>
          <cell r="CQ75">
            <v>0</v>
          </cell>
          <cell r="CR75">
            <v>0</v>
          </cell>
          <cell r="CS75" t="str">
            <v>A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4</v>
          </cell>
          <cell r="DG75">
            <v>0</v>
          </cell>
          <cell r="DH75">
            <v>0</v>
          </cell>
          <cell r="DI75">
            <v>18</v>
          </cell>
          <cell r="DJ75">
            <v>0</v>
          </cell>
          <cell r="DK75">
            <v>0</v>
          </cell>
          <cell r="DL75">
            <v>2</v>
          </cell>
          <cell r="DM75">
            <v>4</v>
          </cell>
          <cell r="DN75">
            <v>24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</row>
        <row r="76">
          <cell r="D76" t="str">
            <v>SHE438</v>
          </cell>
          <cell r="E76">
            <v>0</v>
          </cell>
          <cell r="F76">
            <v>0</v>
          </cell>
          <cell r="G76" t="str">
            <v>Raj Dharmeshkumar Ganpatsinh</v>
          </cell>
          <cell r="H76" t="str">
            <v>Direct Labour Wage</v>
          </cell>
          <cell r="I76">
            <v>0</v>
          </cell>
          <cell r="J76" t="str">
            <v>UNIT-2</v>
          </cell>
          <cell r="K76" t="str">
            <v>MV</v>
          </cell>
          <cell r="L76" t="str">
            <v>Casting</v>
          </cell>
          <cell r="M76" t="str">
            <v>Helper</v>
          </cell>
          <cell r="N76">
            <v>46058</v>
          </cell>
          <cell r="O76">
            <v>7.9452054794520555E-2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 t="str">
            <v>P</v>
          </cell>
          <cell r="AC76">
            <v>0</v>
          </cell>
          <cell r="AD76">
            <v>0</v>
          </cell>
          <cell r="AE76" t="str">
            <v>A</v>
          </cell>
          <cell r="AF76">
            <v>0</v>
          </cell>
          <cell r="AG76">
            <v>0</v>
          </cell>
          <cell r="AH76" t="str">
            <v>A</v>
          </cell>
          <cell r="AI76">
            <v>0</v>
          </cell>
          <cell r="AJ76">
            <v>0</v>
          </cell>
          <cell r="AK76" t="str">
            <v>S</v>
          </cell>
          <cell r="AL76">
            <v>0</v>
          </cell>
          <cell r="AM76">
            <v>0</v>
          </cell>
          <cell r="AN76" t="str">
            <v>P</v>
          </cell>
          <cell r="AO76">
            <v>0</v>
          </cell>
          <cell r="AP76">
            <v>0</v>
          </cell>
          <cell r="AQ76" t="str">
            <v>A</v>
          </cell>
          <cell r="AR76">
            <v>0</v>
          </cell>
          <cell r="AS76">
            <v>0</v>
          </cell>
          <cell r="AT76" t="str">
            <v>A</v>
          </cell>
          <cell r="AU76">
            <v>0</v>
          </cell>
          <cell r="AV76">
            <v>0</v>
          </cell>
          <cell r="AW76" t="str">
            <v>A</v>
          </cell>
          <cell r="AX76">
            <v>0</v>
          </cell>
          <cell r="AY76">
            <v>0</v>
          </cell>
          <cell r="AZ76" t="str">
            <v>A</v>
          </cell>
          <cell r="BA76">
            <v>0</v>
          </cell>
          <cell r="BB76">
            <v>0</v>
          </cell>
          <cell r="BC76" t="str">
            <v>A</v>
          </cell>
          <cell r="BD76">
            <v>0</v>
          </cell>
          <cell r="BE76">
            <v>0</v>
          </cell>
          <cell r="BF76" t="str">
            <v>S</v>
          </cell>
          <cell r="BG76">
            <v>0</v>
          </cell>
          <cell r="BH76">
            <v>0</v>
          </cell>
          <cell r="BI76" t="str">
            <v>P</v>
          </cell>
          <cell r="BJ76">
            <v>0</v>
          </cell>
          <cell r="BK76">
            <v>0</v>
          </cell>
          <cell r="BL76" t="str">
            <v>A</v>
          </cell>
          <cell r="BM76">
            <v>0</v>
          </cell>
          <cell r="BN76">
            <v>0</v>
          </cell>
          <cell r="BO76" t="str">
            <v>A</v>
          </cell>
          <cell r="BP76">
            <v>0</v>
          </cell>
          <cell r="BQ76">
            <v>0</v>
          </cell>
          <cell r="BR76" t="str">
            <v>A</v>
          </cell>
          <cell r="BS76">
            <v>0</v>
          </cell>
          <cell r="BT76">
            <v>0</v>
          </cell>
          <cell r="BU76" t="str">
            <v>A</v>
          </cell>
          <cell r="BV76">
            <v>0</v>
          </cell>
          <cell r="BW76">
            <v>0</v>
          </cell>
          <cell r="BX76" t="str">
            <v>A</v>
          </cell>
          <cell r="BY76">
            <v>0</v>
          </cell>
          <cell r="BZ76">
            <v>0</v>
          </cell>
          <cell r="CA76" t="str">
            <v>A</v>
          </cell>
          <cell r="CB76">
            <v>0</v>
          </cell>
          <cell r="CC76">
            <v>0</v>
          </cell>
          <cell r="CD76" t="str">
            <v>A</v>
          </cell>
          <cell r="CE76">
            <v>0</v>
          </cell>
          <cell r="CF76">
            <v>0</v>
          </cell>
          <cell r="CG76" t="str">
            <v>A</v>
          </cell>
          <cell r="CH76">
            <v>0</v>
          </cell>
          <cell r="CI76">
            <v>0</v>
          </cell>
          <cell r="CJ76" t="str">
            <v>A</v>
          </cell>
          <cell r="CK76">
            <v>0</v>
          </cell>
          <cell r="CL76">
            <v>0</v>
          </cell>
          <cell r="CM76" t="str">
            <v>A</v>
          </cell>
          <cell r="CN76">
            <v>0</v>
          </cell>
          <cell r="CO76">
            <v>0</v>
          </cell>
          <cell r="CP76" t="str">
            <v>A</v>
          </cell>
          <cell r="CQ76">
            <v>0</v>
          </cell>
          <cell r="CR76">
            <v>0</v>
          </cell>
          <cell r="CS76" t="str">
            <v>A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3</v>
          </cell>
          <cell r="DG76">
            <v>0</v>
          </cell>
          <cell r="DH76">
            <v>0</v>
          </cell>
          <cell r="DI76">
            <v>19</v>
          </cell>
          <cell r="DJ76">
            <v>0</v>
          </cell>
          <cell r="DK76">
            <v>0</v>
          </cell>
          <cell r="DL76">
            <v>2</v>
          </cell>
          <cell r="DM76">
            <v>3</v>
          </cell>
          <cell r="DN76">
            <v>24</v>
          </cell>
          <cell r="DO76">
            <v>0</v>
          </cell>
          <cell r="DP76">
            <v>0</v>
          </cell>
          <cell r="DQ76">
            <v>0</v>
          </cell>
          <cell r="DR76">
            <v>200</v>
          </cell>
        </row>
        <row r="77">
          <cell r="D77" t="str">
            <v>SHE440</v>
          </cell>
          <cell r="E77">
            <v>0</v>
          </cell>
          <cell r="F77">
            <v>0</v>
          </cell>
          <cell r="G77" t="str">
            <v>Mahendrasinh Rameshchandar Jadav</v>
          </cell>
          <cell r="H77" t="str">
            <v>Direct Labour Wage</v>
          </cell>
          <cell r="I77">
            <v>0</v>
          </cell>
          <cell r="J77" t="str">
            <v>UNIT-2</v>
          </cell>
          <cell r="K77" t="str">
            <v>GIS</v>
          </cell>
          <cell r="L77" t="str">
            <v>Assembly</v>
          </cell>
          <cell r="M77" t="str">
            <v>Helper</v>
          </cell>
          <cell r="N77">
            <v>46059</v>
          </cell>
          <cell r="O77">
            <v>7.6712328767123292E-2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 t="str">
            <v>P</v>
          </cell>
          <cell r="AF77">
            <v>0</v>
          </cell>
          <cell r="AG77">
            <v>0</v>
          </cell>
          <cell r="AH77" t="str">
            <v>P</v>
          </cell>
          <cell r="AI77">
            <v>0</v>
          </cell>
          <cell r="AJ77">
            <v>0</v>
          </cell>
          <cell r="AK77" t="str">
            <v>S</v>
          </cell>
          <cell r="AL77">
            <v>0</v>
          </cell>
          <cell r="AM77">
            <v>0</v>
          </cell>
          <cell r="AN77" t="str">
            <v>P</v>
          </cell>
          <cell r="AO77">
            <v>0</v>
          </cell>
          <cell r="AP77">
            <v>0</v>
          </cell>
          <cell r="AQ77" t="str">
            <v>P</v>
          </cell>
          <cell r="AR77">
            <v>0</v>
          </cell>
          <cell r="AS77">
            <v>0</v>
          </cell>
          <cell r="AT77" t="str">
            <v>P</v>
          </cell>
          <cell r="AU77">
            <v>0</v>
          </cell>
          <cell r="AV77">
            <v>0</v>
          </cell>
          <cell r="AW77" t="str">
            <v>P</v>
          </cell>
          <cell r="AX77">
            <v>0</v>
          </cell>
          <cell r="AY77">
            <v>0</v>
          </cell>
          <cell r="AZ77" t="str">
            <v>P</v>
          </cell>
          <cell r="BA77">
            <v>0</v>
          </cell>
          <cell r="BB77">
            <v>0</v>
          </cell>
          <cell r="BC77" t="str">
            <v>P</v>
          </cell>
          <cell r="BD77">
            <v>0</v>
          </cell>
          <cell r="BE77">
            <v>0</v>
          </cell>
          <cell r="BF77" t="str">
            <v>S</v>
          </cell>
          <cell r="BG77">
            <v>0</v>
          </cell>
          <cell r="BH77">
            <v>0</v>
          </cell>
          <cell r="BI77" t="str">
            <v>P</v>
          </cell>
          <cell r="BJ77">
            <v>0</v>
          </cell>
          <cell r="BK77">
            <v>0</v>
          </cell>
          <cell r="BL77" t="str">
            <v>P</v>
          </cell>
          <cell r="BM77">
            <v>0</v>
          </cell>
          <cell r="BN77">
            <v>0</v>
          </cell>
          <cell r="BO77" t="str">
            <v>A</v>
          </cell>
          <cell r="BP77">
            <v>0</v>
          </cell>
          <cell r="BQ77">
            <v>0</v>
          </cell>
          <cell r="BR77" t="str">
            <v>A</v>
          </cell>
          <cell r="BS77">
            <v>0</v>
          </cell>
          <cell r="BT77">
            <v>0</v>
          </cell>
          <cell r="BU77" t="str">
            <v>A</v>
          </cell>
          <cell r="BV77">
            <v>0</v>
          </cell>
          <cell r="BW77">
            <v>0</v>
          </cell>
          <cell r="BX77" t="str">
            <v>A</v>
          </cell>
          <cell r="BY77">
            <v>0</v>
          </cell>
          <cell r="BZ77">
            <v>0</v>
          </cell>
          <cell r="CA77" t="str">
            <v>A</v>
          </cell>
          <cell r="CB77">
            <v>0</v>
          </cell>
          <cell r="CC77">
            <v>0</v>
          </cell>
          <cell r="CD77" t="str">
            <v>A</v>
          </cell>
          <cell r="CE77">
            <v>0</v>
          </cell>
          <cell r="CF77">
            <v>0</v>
          </cell>
          <cell r="CG77" t="str">
            <v>A</v>
          </cell>
          <cell r="CH77">
            <v>0</v>
          </cell>
          <cell r="CI77">
            <v>0</v>
          </cell>
          <cell r="CJ77" t="str">
            <v>A</v>
          </cell>
          <cell r="CK77">
            <v>0</v>
          </cell>
          <cell r="CL77">
            <v>0</v>
          </cell>
          <cell r="CM77" t="str">
            <v>A</v>
          </cell>
          <cell r="CN77">
            <v>0</v>
          </cell>
          <cell r="CO77">
            <v>0</v>
          </cell>
          <cell r="CP77" t="str">
            <v>A</v>
          </cell>
          <cell r="CQ77">
            <v>0</v>
          </cell>
          <cell r="CR77">
            <v>0</v>
          </cell>
          <cell r="CS77" t="str">
            <v>A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10</v>
          </cell>
          <cell r="DG77">
            <v>0</v>
          </cell>
          <cell r="DH77">
            <v>0</v>
          </cell>
          <cell r="DI77">
            <v>11</v>
          </cell>
          <cell r="DJ77">
            <v>0</v>
          </cell>
          <cell r="DK77">
            <v>0</v>
          </cell>
          <cell r="DL77">
            <v>2</v>
          </cell>
          <cell r="DM77">
            <v>10</v>
          </cell>
          <cell r="DN77">
            <v>23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</row>
        <row r="78">
          <cell r="D78" t="str">
            <v>SHE443</v>
          </cell>
          <cell r="E78">
            <v>0</v>
          </cell>
          <cell r="F78">
            <v>0</v>
          </cell>
          <cell r="G78" t="str">
            <v>Pradeep Kumar Ram Naresh</v>
          </cell>
          <cell r="H78" t="str">
            <v>Direct Labour Wage</v>
          </cell>
          <cell r="I78">
            <v>0</v>
          </cell>
          <cell r="J78" t="str">
            <v>UNIT-2</v>
          </cell>
          <cell r="K78" t="str">
            <v>MV</v>
          </cell>
          <cell r="L78" t="str">
            <v>Assembly</v>
          </cell>
          <cell r="M78" t="str">
            <v>Helper</v>
          </cell>
          <cell r="N78">
            <v>46063</v>
          </cell>
          <cell r="O78">
            <v>6.575342465753424E-2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 t="str">
            <v>T</v>
          </cell>
          <cell r="AR78">
            <v>0</v>
          </cell>
          <cell r="AS78">
            <v>0</v>
          </cell>
          <cell r="AT78" t="str">
            <v>T</v>
          </cell>
          <cell r="AU78">
            <v>0</v>
          </cell>
          <cell r="AV78">
            <v>0</v>
          </cell>
          <cell r="AW78" t="str">
            <v>T</v>
          </cell>
          <cell r="AX78">
            <v>0</v>
          </cell>
          <cell r="AY78">
            <v>0</v>
          </cell>
          <cell r="AZ78" t="str">
            <v>T</v>
          </cell>
          <cell r="BA78">
            <v>0</v>
          </cell>
          <cell r="BB78">
            <v>0</v>
          </cell>
          <cell r="BC78" t="str">
            <v>T</v>
          </cell>
          <cell r="BD78">
            <v>0</v>
          </cell>
          <cell r="BE78">
            <v>0</v>
          </cell>
          <cell r="BF78" t="str">
            <v>S</v>
          </cell>
          <cell r="BG78">
            <v>0</v>
          </cell>
          <cell r="BH78">
            <v>0</v>
          </cell>
          <cell r="BI78" t="str">
            <v>T</v>
          </cell>
          <cell r="BJ78">
            <v>0</v>
          </cell>
          <cell r="BK78">
            <v>0</v>
          </cell>
          <cell r="BL78" t="str">
            <v>T</v>
          </cell>
          <cell r="BM78">
            <v>0</v>
          </cell>
          <cell r="BN78">
            <v>0</v>
          </cell>
          <cell r="BO78" t="str">
            <v>T</v>
          </cell>
          <cell r="BP78">
            <v>0</v>
          </cell>
          <cell r="BQ78">
            <v>0</v>
          </cell>
          <cell r="BR78" t="str">
            <v>T</v>
          </cell>
          <cell r="BS78">
            <v>0</v>
          </cell>
          <cell r="BT78">
            <v>0</v>
          </cell>
          <cell r="BU78" t="str">
            <v>T</v>
          </cell>
          <cell r="BV78">
            <v>0</v>
          </cell>
          <cell r="BW78">
            <v>0</v>
          </cell>
          <cell r="BX78" t="str">
            <v>T</v>
          </cell>
          <cell r="BY78">
            <v>0</v>
          </cell>
          <cell r="BZ78">
            <v>0</v>
          </cell>
          <cell r="CA78" t="str">
            <v>S</v>
          </cell>
          <cell r="CB78">
            <v>0</v>
          </cell>
          <cell r="CC78">
            <v>0</v>
          </cell>
          <cell r="CD78" t="str">
            <v>T</v>
          </cell>
          <cell r="CE78">
            <v>0</v>
          </cell>
          <cell r="CF78">
            <v>0</v>
          </cell>
          <cell r="CG78" t="str">
            <v>T</v>
          </cell>
          <cell r="CH78">
            <v>0</v>
          </cell>
          <cell r="CI78">
            <v>0</v>
          </cell>
          <cell r="CJ78" t="str">
            <v>T</v>
          </cell>
          <cell r="CK78">
            <v>0</v>
          </cell>
          <cell r="CL78">
            <v>0</v>
          </cell>
          <cell r="CM78" t="str">
            <v>T</v>
          </cell>
          <cell r="CN78">
            <v>0</v>
          </cell>
          <cell r="CO78">
            <v>0</v>
          </cell>
          <cell r="CP78" t="str">
            <v>T</v>
          </cell>
          <cell r="CQ78">
            <v>0</v>
          </cell>
          <cell r="CR78">
            <v>0</v>
          </cell>
          <cell r="CS78" t="str">
            <v>T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2</v>
          </cell>
          <cell r="DM78">
            <v>0</v>
          </cell>
          <cell r="DN78">
            <v>19</v>
          </cell>
          <cell r="DO78">
            <v>17</v>
          </cell>
          <cell r="DP78">
            <v>0</v>
          </cell>
          <cell r="DQ78">
            <v>0</v>
          </cell>
          <cell r="DR78">
            <v>0</v>
          </cell>
        </row>
        <row r="79">
          <cell r="D79" t="str">
            <v>SHE446</v>
          </cell>
          <cell r="E79">
            <v>0</v>
          </cell>
          <cell r="F79">
            <v>0</v>
          </cell>
          <cell r="G79" t="str">
            <v>Ajabsinh Umedsinh Parmar</v>
          </cell>
          <cell r="H79" t="str">
            <v>InDirect Labour Wage</v>
          </cell>
          <cell r="I79">
            <v>0</v>
          </cell>
          <cell r="J79" t="str">
            <v>UNIT-2</v>
          </cell>
          <cell r="K79" t="str">
            <v>Store</v>
          </cell>
          <cell r="L79" t="str">
            <v>Store</v>
          </cell>
          <cell r="M79" t="str">
            <v>Helper</v>
          </cell>
          <cell r="N79">
            <v>46070</v>
          </cell>
          <cell r="O79">
            <v>4.6575342465753428E-2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 t="str">
            <v>P</v>
          </cell>
          <cell r="BM79">
            <v>0</v>
          </cell>
          <cell r="BN79">
            <v>0</v>
          </cell>
          <cell r="BO79" t="str">
            <v>P</v>
          </cell>
          <cell r="BP79">
            <v>0</v>
          </cell>
          <cell r="BQ79">
            <v>0</v>
          </cell>
          <cell r="BR79" t="str">
            <v>A</v>
          </cell>
          <cell r="BS79">
            <v>0</v>
          </cell>
          <cell r="BT79">
            <v>0</v>
          </cell>
          <cell r="BU79" t="str">
            <v>A</v>
          </cell>
          <cell r="BV79">
            <v>0</v>
          </cell>
          <cell r="BW79">
            <v>0</v>
          </cell>
          <cell r="BX79" t="str">
            <v>A</v>
          </cell>
          <cell r="BY79">
            <v>0</v>
          </cell>
          <cell r="BZ79">
            <v>0</v>
          </cell>
          <cell r="CA79" t="str">
            <v>A</v>
          </cell>
          <cell r="CB79">
            <v>0</v>
          </cell>
          <cell r="CC79">
            <v>0</v>
          </cell>
          <cell r="CD79" t="str">
            <v>A</v>
          </cell>
          <cell r="CE79">
            <v>0</v>
          </cell>
          <cell r="CF79">
            <v>0</v>
          </cell>
          <cell r="CG79" t="str">
            <v>A</v>
          </cell>
          <cell r="CH79">
            <v>0</v>
          </cell>
          <cell r="CI79">
            <v>0</v>
          </cell>
          <cell r="CJ79" t="str">
            <v>A</v>
          </cell>
          <cell r="CK79">
            <v>0</v>
          </cell>
          <cell r="CL79">
            <v>0</v>
          </cell>
          <cell r="CM79" t="str">
            <v>A</v>
          </cell>
          <cell r="CN79">
            <v>0</v>
          </cell>
          <cell r="CO79">
            <v>0</v>
          </cell>
          <cell r="CP79" t="str">
            <v>A</v>
          </cell>
          <cell r="CQ79">
            <v>0</v>
          </cell>
          <cell r="CR79">
            <v>0</v>
          </cell>
          <cell r="CS79" t="str">
            <v>A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2</v>
          </cell>
          <cell r="DG79">
            <v>0</v>
          </cell>
          <cell r="DH79">
            <v>0</v>
          </cell>
          <cell r="DI79">
            <v>10</v>
          </cell>
          <cell r="DJ79">
            <v>0</v>
          </cell>
          <cell r="DK79">
            <v>0</v>
          </cell>
          <cell r="DL79">
            <v>0</v>
          </cell>
          <cell r="DM79">
            <v>2</v>
          </cell>
          <cell r="DN79">
            <v>12</v>
          </cell>
          <cell r="DO79">
            <v>0</v>
          </cell>
          <cell r="DP79">
            <v>9</v>
          </cell>
          <cell r="DQ79">
            <v>350</v>
          </cell>
          <cell r="DR79">
            <v>0</v>
          </cell>
        </row>
        <row r="80">
          <cell r="D80" t="str">
            <v>SHE447</v>
          </cell>
          <cell r="E80">
            <v>0</v>
          </cell>
          <cell r="F80">
            <v>0</v>
          </cell>
          <cell r="G80" t="str">
            <v>Jadav Vanrajsinh Dineshbhai</v>
          </cell>
          <cell r="H80" t="str">
            <v>Direct Labour Wage</v>
          </cell>
          <cell r="I80">
            <v>0</v>
          </cell>
          <cell r="J80" t="str">
            <v>UNIT-2</v>
          </cell>
          <cell r="K80" t="str">
            <v>MV</v>
          </cell>
          <cell r="L80" t="str">
            <v>Line Assambaly</v>
          </cell>
          <cell r="M80" t="str">
            <v>Helper</v>
          </cell>
          <cell r="N80">
            <v>46076</v>
          </cell>
          <cell r="O80">
            <v>3.0136986301369864E-2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 t="str">
            <v>P</v>
          </cell>
          <cell r="CE80">
            <v>0</v>
          </cell>
          <cell r="CF80">
            <v>0</v>
          </cell>
          <cell r="CG80" t="str">
            <v>P</v>
          </cell>
          <cell r="CH80">
            <v>0</v>
          </cell>
          <cell r="CI80">
            <v>0</v>
          </cell>
          <cell r="CJ80" t="str">
            <v>P</v>
          </cell>
          <cell r="CK80">
            <v>0</v>
          </cell>
          <cell r="CL80">
            <v>0</v>
          </cell>
          <cell r="CM80" t="str">
            <v>P</v>
          </cell>
          <cell r="CN80">
            <v>0</v>
          </cell>
          <cell r="CO80">
            <v>0</v>
          </cell>
          <cell r="CP80" t="str">
            <v>P</v>
          </cell>
          <cell r="CQ80">
            <v>0</v>
          </cell>
          <cell r="CR80">
            <v>2.5</v>
          </cell>
          <cell r="CS80" t="str">
            <v>A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5</v>
          </cell>
          <cell r="DG80">
            <v>0</v>
          </cell>
          <cell r="DH80">
            <v>2.5</v>
          </cell>
          <cell r="DI80">
            <v>1</v>
          </cell>
          <cell r="DJ80">
            <v>0</v>
          </cell>
          <cell r="DK80">
            <v>0</v>
          </cell>
          <cell r="DL80">
            <v>0</v>
          </cell>
          <cell r="DM80">
            <v>5</v>
          </cell>
          <cell r="DN80">
            <v>6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</row>
        <row r="81">
          <cell r="D81" t="str">
            <v>SHE448</v>
          </cell>
          <cell r="E81">
            <v>0</v>
          </cell>
          <cell r="F81">
            <v>0</v>
          </cell>
          <cell r="G81" t="str">
            <v>Parmar Jaykumar Arvindbhai</v>
          </cell>
          <cell r="H81" t="str">
            <v>InDirect Labour Wage</v>
          </cell>
          <cell r="I81">
            <v>0</v>
          </cell>
          <cell r="J81" t="str">
            <v>UNIT-2</v>
          </cell>
          <cell r="K81" t="str">
            <v>MV</v>
          </cell>
          <cell r="L81" t="str">
            <v>Testing</v>
          </cell>
          <cell r="M81" t="str">
            <v>Helper</v>
          </cell>
          <cell r="N81">
            <v>46078</v>
          </cell>
          <cell r="O81">
            <v>2.4657534246575342E-2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 t="str">
            <v>P</v>
          </cell>
          <cell r="CK81">
            <v>0</v>
          </cell>
          <cell r="CL81">
            <v>0</v>
          </cell>
          <cell r="CM81" t="str">
            <v>P</v>
          </cell>
          <cell r="CN81">
            <v>0</v>
          </cell>
          <cell r="CO81">
            <v>0</v>
          </cell>
          <cell r="CP81" t="str">
            <v>HD</v>
          </cell>
          <cell r="CQ81">
            <v>0</v>
          </cell>
          <cell r="CR81">
            <v>1</v>
          </cell>
          <cell r="CS81" t="str">
            <v>P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0.5</v>
          </cell>
          <cell r="DF81">
            <v>3.5</v>
          </cell>
          <cell r="DG81">
            <v>0</v>
          </cell>
          <cell r="DH81">
            <v>1</v>
          </cell>
          <cell r="DI81">
            <v>0.5</v>
          </cell>
          <cell r="DJ81">
            <v>0</v>
          </cell>
          <cell r="DK81">
            <v>0</v>
          </cell>
          <cell r="DL81">
            <v>0</v>
          </cell>
          <cell r="DM81">
            <v>3.5</v>
          </cell>
          <cell r="DN81">
            <v>4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</row>
        <row r="82">
          <cell r="D82" t="str">
            <v>SHE449</v>
          </cell>
          <cell r="E82">
            <v>0</v>
          </cell>
          <cell r="F82">
            <v>0</v>
          </cell>
          <cell r="G82" t="str">
            <v>Parmar aryan</v>
          </cell>
          <cell r="H82" t="str">
            <v>Direct Labour Wage</v>
          </cell>
          <cell r="I82">
            <v>0</v>
          </cell>
          <cell r="J82" t="str">
            <v>UNIT-2</v>
          </cell>
          <cell r="K82" t="str">
            <v>MV</v>
          </cell>
          <cell r="L82" t="str">
            <v>Winding</v>
          </cell>
          <cell r="M82" t="str">
            <v>Helper</v>
          </cell>
          <cell r="N82">
            <v>46076</v>
          </cell>
          <cell r="O82">
            <v>3.0136986301369864E-2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P</v>
          </cell>
          <cell r="BJ82">
            <v>0</v>
          </cell>
          <cell r="BK82">
            <v>0</v>
          </cell>
          <cell r="BL82" t="str">
            <v>P</v>
          </cell>
          <cell r="BM82">
            <v>0</v>
          </cell>
          <cell r="BN82">
            <v>0</v>
          </cell>
          <cell r="BO82" t="str">
            <v>P</v>
          </cell>
          <cell r="BP82">
            <v>0</v>
          </cell>
          <cell r="BQ82">
            <v>0</v>
          </cell>
          <cell r="BR82" t="str">
            <v>P</v>
          </cell>
          <cell r="BS82">
            <v>0</v>
          </cell>
          <cell r="BT82">
            <v>0</v>
          </cell>
          <cell r="BU82" t="str">
            <v>P</v>
          </cell>
          <cell r="BV82">
            <v>0</v>
          </cell>
          <cell r="BW82">
            <v>0</v>
          </cell>
          <cell r="BX82" t="str">
            <v>P</v>
          </cell>
          <cell r="BY82">
            <v>0</v>
          </cell>
          <cell r="BZ82">
            <v>0</v>
          </cell>
          <cell r="CA82" t="str">
            <v>S</v>
          </cell>
          <cell r="CB82">
            <v>0</v>
          </cell>
          <cell r="CC82">
            <v>0</v>
          </cell>
          <cell r="CD82" t="str">
            <v>P</v>
          </cell>
          <cell r="CE82">
            <v>0</v>
          </cell>
          <cell r="CF82">
            <v>0</v>
          </cell>
          <cell r="CG82" t="str">
            <v>P</v>
          </cell>
          <cell r="CH82">
            <v>0</v>
          </cell>
          <cell r="CI82">
            <v>0</v>
          </cell>
          <cell r="CJ82" t="str">
            <v>P</v>
          </cell>
          <cell r="CK82">
            <v>0</v>
          </cell>
          <cell r="CL82">
            <v>0</v>
          </cell>
          <cell r="CM82" t="str">
            <v>P</v>
          </cell>
          <cell r="CN82">
            <v>0</v>
          </cell>
          <cell r="CO82">
            <v>0</v>
          </cell>
          <cell r="CP82" t="str">
            <v>P</v>
          </cell>
          <cell r="CQ82">
            <v>0</v>
          </cell>
          <cell r="CR82">
            <v>0</v>
          </cell>
          <cell r="CS82" t="str">
            <v>P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12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1</v>
          </cell>
          <cell r="DM82">
            <v>12</v>
          </cell>
          <cell r="DN82">
            <v>13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</row>
        <row r="83">
          <cell r="D83" t="str">
            <v>CFCP0595</v>
          </cell>
          <cell r="E83" t="str">
            <v>Active</v>
          </cell>
          <cell r="F83" t="str">
            <v>Direct</v>
          </cell>
          <cell r="G83" t="str">
            <v>Harshdakumar Thakorbhai Parmar</v>
          </cell>
          <cell r="H83" t="str">
            <v>Direct Labour Wage</v>
          </cell>
          <cell r="I83" t="str">
            <v>EC2420209038-01E</v>
          </cell>
          <cell r="J83" t="str">
            <v>Core Factory</v>
          </cell>
          <cell r="K83" t="str">
            <v>Core</v>
          </cell>
          <cell r="L83" t="str">
            <v>Auto Winding M/C</v>
          </cell>
          <cell r="M83" t="str">
            <v>Helper</v>
          </cell>
          <cell r="N83">
            <v>44746</v>
          </cell>
          <cell r="O83">
            <v>3.6739726027397261</v>
          </cell>
          <cell r="P83" t="str">
            <v>S</v>
          </cell>
          <cell r="Q83">
            <v>0</v>
          </cell>
          <cell r="R83">
            <v>0</v>
          </cell>
          <cell r="S83" t="str">
            <v>P</v>
          </cell>
          <cell r="T83">
            <v>0</v>
          </cell>
          <cell r="U83">
            <v>0</v>
          </cell>
          <cell r="V83" t="str">
            <v>P</v>
          </cell>
          <cell r="W83">
            <v>0</v>
          </cell>
          <cell r="X83">
            <v>0</v>
          </cell>
          <cell r="Y83" t="str">
            <v>P</v>
          </cell>
          <cell r="Z83">
            <v>0</v>
          </cell>
          <cell r="AA83">
            <v>0</v>
          </cell>
          <cell r="AB83" t="str">
            <v>A</v>
          </cell>
          <cell r="AC83">
            <v>0</v>
          </cell>
          <cell r="AD83">
            <v>0</v>
          </cell>
          <cell r="AE83" t="str">
            <v>P</v>
          </cell>
          <cell r="AF83">
            <v>0</v>
          </cell>
          <cell r="AG83">
            <v>0</v>
          </cell>
          <cell r="AH83" t="str">
            <v>P</v>
          </cell>
          <cell r="AI83">
            <v>0</v>
          </cell>
          <cell r="AJ83">
            <v>0</v>
          </cell>
          <cell r="AK83" t="str">
            <v>S</v>
          </cell>
          <cell r="AL83">
            <v>0</v>
          </cell>
          <cell r="AM83">
            <v>0</v>
          </cell>
          <cell r="AN83" t="str">
            <v>P</v>
          </cell>
          <cell r="AO83">
            <v>0</v>
          </cell>
          <cell r="AP83">
            <v>0</v>
          </cell>
          <cell r="AQ83" t="str">
            <v>A</v>
          </cell>
          <cell r="AR83">
            <v>0</v>
          </cell>
          <cell r="AS83">
            <v>0</v>
          </cell>
          <cell r="AT83" t="str">
            <v>P</v>
          </cell>
          <cell r="AU83">
            <v>0</v>
          </cell>
          <cell r="AV83">
            <v>0</v>
          </cell>
          <cell r="AW83" t="str">
            <v>P</v>
          </cell>
          <cell r="AX83">
            <v>0</v>
          </cell>
          <cell r="AY83">
            <v>0</v>
          </cell>
          <cell r="AZ83" t="str">
            <v>P</v>
          </cell>
          <cell r="BA83">
            <v>0</v>
          </cell>
          <cell r="BB83">
            <v>0</v>
          </cell>
          <cell r="BC83" t="str">
            <v>A</v>
          </cell>
          <cell r="BD83">
            <v>0</v>
          </cell>
          <cell r="BE83">
            <v>0</v>
          </cell>
          <cell r="BF83" t="str">
            <v>S</v>
          </cell>
          <cell r="BG83">
            <v>0</v>
          </cell>
          <cell r="BH83">
            <v>0</v>
          </cell>
          <cell r="BI83" t="str">
            <v>P</v>
          </cell>
          <cell r="BJ83">
            <v>0</v>
          </cell>
          <cell r="BK83">
            <v>0</v>
          </cell>
          <cell r="BL83" t="str">
            <v>P</v>
          </cell>
          <cell r="BM83">
            <v>0</v>
          </cell>
          <cell r="BN83">
            <v>0</v>
          </cell>
          <cell r="BO83" t="str">
            <v>P</v>
          </cell>
          <cell r="BP83">
            <v>0</v>
          </cell>
          <cell r="BQ83">
            <v>0</v>
          </cell>
          <cell r="BR83" t="str">
            <v>P</v>
          </cell>
          <cell r="BS83">
            <v>0</v>
          </cell>
          <cell r="BT83">
            <v>0</v>
          </cell>
          <cell r="BU83" t="str">
            <v>HD</v>
          </cell>
          <cell r="BV83">
            <v>0</v>
          </cell>
          <cell r="BW83">
            <v>0</v>
          </cell>
          <cell r="BX83" t="str">
            <v>A</v>
          </cell>
          <cell r="BY83">
            <v>0</v>
          </cell>
          <cell r="BZ83">
            <v>0</v>
          </cell>
          <cell r="CA83" t="str">
            <v>A</v>
          </cell>
          <cell r="CB83">
            <v>0</v>
          </cell>
          <cell r="CC83">
            <v>0</v>
          </cell>
          <cell r="CD83" t="str">
            <v>A</v>
          </cell>
          <cell r="CE83">
            <v>0</v>
          </cell>
          <cell r="CF83">
            <v>0</v>
          </cell>
          <cell r="CG83" t="str">
            <v>A</v>
          </cell>
          <cell r="CH83">
            <v>0</v>
          </cell>
          <cell r="CI83">
            <v>0</v>
          </cell>
          <cell r="CJ83" t="str">
            <v>A</v>
          </cell>
          <cell r="CK83">
            <v>0</v>
          </cell>
          <cell r="CL83">
            <v>0</v>
          </cell>
          <cell r="CM83" t="str">
            <v>A</v>
          </cell>
          <cell r="CN83">
            <v>0</v>
          </cell>
          <cell r="CO83">
            <v>0</v>
          </cell>
          <cell r="CP83" t="str">
            <v>A</v>
          </cell>
          <cell r="CQ83">
            <v>0</v>
          </cell>
          <cell r="CR83">
            <v>0</v>
          </cell>
          <cell r="CS83" t="str">
            <v>A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0.5</v>
          </cell>
          <cell r="DF83">
            <v>13.5</v>
          </cell>
          <cell r="DG83">
            <v>0</v>
          </cell>
          <cell r="DH83">
            <v>0</v>
          </cell>
          <cell r="DI83">
            <v>11.5</v>
          </cell>
          <cell r="DJ83">
            <v>0</v>
          </cell>
          <cell r="DK83">
            <v>0</v>
          </cell>
          <cell r="DL83">
            <v>3</v>
          </cell>
          <cell r="DM83">
            <v>13.5</v>
          </cell>
          <cell r="DN83">
            <v>28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</row>
        <row r="84">
          <cell r="D84" t="str">
            <v>CFCP0813</v>
          </cell>
          <cell r="E84" t="str">
            <v>Active</v>
          </cell>
          <cell r="F84" t="str">
            <v>In Direct</v>
          </cell>
          <cell r="G84" t="str">
            <v>Neel Brijeshbhai Rajput</v>
          </cell>
          <cell r="H84" t="str">
            <v>InDirect Labour Wage</v>
          </cell>
          <cell r="I84" t="str">
            <v>EC2521450502-01E</v>
          </cell>
          <cell r="J84" t="str">
            <v>Core Factory</v>
          </cell>
          <cell r="K84" t="str">
            <v>Coil Winding</v>
          </cell>
          <cell r="L84" t="str">
            <v>Testing</v>
          </cell>
          <cell r="M84" t="str">
            <v>Data Entry Operator</v>
          </cell>
          <cell r="N84">
            <v>45450</v>
          </cell>
          <cell r="O84">
            <v>1.7452054794520548</v>
          </cell>
          <cell r="P84" t="str">
            <v>S</v>
          </cell>
          <cell r="Q84">
            <v>0</v>
          </cell>
          <cell r="R84">
            <v>0</v>
          </cell>
          <cell r="S84" t="str">
            <v>P</v>
          </cell>
          <cell r="T84">
            <v>0</v>
          </cell>
          <cell r="U84">
            <v>2</v>
          </cell>
          <cell r="V84" t="str">
            <v>P</v>
          </cell>
          <cell r="W84">
            <v>0</v>
          </cell>
          <cell r="X84">
            <v>2</v>
          </cell>
          <cell r="Y84" t="str">
            <v>P</v>
          </cell>
          <cell r="Z84">
            <v>0</v>
          </cell>
          <cell r="AA84">
            <v>2</v>
          </cell>
          <cell r="AB84" t="str">
            <v>P</v>
          </cell>
          <cell r="AC84">
            <v>0</v>
          </cell>
          <cell r="AD84">
            <v>0</v>
          </cell>
          <cell r="AE84" t="str">
            <v>P</v>
          </cell>
          <cell r="AF84">
            <v>0</v>
          </cell>
          <cell r="AG84">
            <v>2</v>
          </cell>
          <cell r="AH84" t="str">
            <v>P</v>
          </cell>
          <cell r="AI84">
            <v>0</v>
          </cell>
          <cell r="AJ84">
            <v>2</v>
          </cell>
          <cell r="AK84" t="str">
            <v>S</v>
          </cell>
          <cell r="AL84">
            <v>0</v>
          </cell>
          <cell r="AM84">
            <v>4</v>
          </cell>
          <cell r="AN84" t="str">
            <v>P</v>
          </cell>
          <cell r="AO84">
            <v>0</v>
          </cell>
          <cell r="AP84">
            <v>2</v>
          </cell>
          <cell r="AQ84" t="str">
            <v>P</v>
          </cell>
          <cell r="AR84">
            <v>0</v>
          </cell>
          <cell r="AS84">
            <v>2</v>
          </cell>
          <cell r="AT84" t="str">
            <v>P</v>
          </cell>
          <cell r="AU84">
            <v>0</v>
          </cell>
          <cell r="AV84">
            <v>2</v>
          </cell>
          <cell r="AW84" t="str">
            <v>P</v>
          </cell>
          <cell r="AX84">
            <v>0</v>
          </cell>
          <cell r="AY84">
            <v>2</v>
          </cell>
          <cell r="AZ84" t="str">
            <v>P</v>
          </cell>
          <cell r="BA84">
            <v>0</v>
          </cell>
          <cell r="BB84">
            <v>2</v>
          </cell>
          <cell r="BC84" t="str">
            <v>P</v>
          </cell>
          <cell r="BD84">
            <v>0</v>
          </cell>
          <cell r="BE84">
            <v>2</v>
          </cell>
          <cell r="BF84" t="str">
            <v>S</v>
          </cell>
          <cell r="BG84">
            <v>0</v>
          </cell>
          <cell r="BH84">
            <v>0</v>
          </cell>
          <cell r="BI84" t="str">
            <v>P</v>
          </cell>
          <cell r="BJ84">
            <v>0</v>
          </cell>
          <cell r="BK84">
            <v>2</v>
          </cell>
          <cell r="BL84" t="str">
            <v>P</v>
          </cell>
          <cell r="BM84">
            <v>0</v>
          </cell>
          <cell r="BN84">
            <v>2</v>
          </cell>
          <cell r="BO84" t="str">
            <v>P</v>
          </cell>
          <cell r="BP84">
            <v>0</v>
          </cell>
          <cell r="BQ84">
            <v>2</v>
          </cell>
          <cell r="BR84" t="str">
            <v>P</v>
          </cell>
          <cell r="BS84">
            <v>0</v>
          </cell>
          <cell r="BT84">
            <v>2</v>
          </cell>
          <cell r="BU84" t="str">
            <v>P</v>
          </cell>
          <cell r="BV84">
            <v>0</v>
          </cell>
          <cell r="BW84">
            <v>2</v>
          </cell>
          <cell r="BX84" t="str">
            <v>P</v>
          </cell>
          <cell r="BY84">
            <v>0</v>
          </cell>
          <cell r="BZ84">
            <v>2</v>
          </cell>
          <cell r="CA84" t="str">
            <v>S</v>
          </cell>
          <cell r="CB84">
            <v>0</v>
          </cell>
          <cell r="CC84">
            <v>0</v>
          </cell>
          <cell r="CD84" t="str">
            <v>P</v>
          </cell>
          <cell r="CE84">
            <v>0</v>
          </cell>
          <cell r="CF84">
            <v>2</v>
          </cell>
          <cell r="CG84" t="str">
            <v>P</v>
          </cell>
          <cell r="CH84">
            <v>0</v>
          </cell>
          <cell r="CI84">
            <v>2</v>
          </cell>
          <cell r="CJ84" t="str">
            <v>P</v>
          </cell>
          <cell r="CK84">
            <v>0</v>
          </cell>
          <cell r="CL84">
            <v>2</v>
          </cell>
          <cell r="CM84" t="str">
            <v>P</v>
          </cell>
          <cell r="CN84">
            <v>0</v>
          </cell>
          <cell r="CO84">
            <v>2</v>
          </cell>
          <cell r="CP84" t="str">
            <v>P</v>
          </cell>
          <cell r="CQ84">
            <v>0</v>
          </cell>
          <cell r="CR84">
            <v>2</v>
          </cell>
          <cell r="CS84" t="str">
            <v>P</v>
          </cell>
          <cell r="CT84">
            <v>0</v>
          </cell>
          <cell r="CU84">
            <v>2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24</v>
          </cell>
          <cell r="DG84">
            <v>0</v>
          </cell>
          <cell r="DH84">
            <v>50</v>
          </cell>
          <cell r="DI84">
            <v>0</v>
          </cell>
          <cell r="DJ84">
            <v>0</v>
          </cell>
          <cell r="DK84">
            <v>0</v>
          </cell>
          <cell r="DL84">
            <v>4</v>
          </cell>
          <cell r="DM84">
            <v>24</v>
          </cell>
          <cell r="DN84">
            <v>28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</row>
        <row r="85">
          <cell r="D85" t="str">
            <v>CFCP0822</v>
          </cell>
          <cell r="E85" t="str">
            <v>Active</v>
          </cell>
          <cell r="F85" t="str">
            <v>In Direct</v>
          </cell>
          <cell r="G85" t="str">
            <v>Sandeep Kumar Balram Kashyap</v>
          </cell>
          <cell r="H85" t="str">
            <v>InDirect Labour Wage</v>
          </cell>
          <cell r="I85" t="str">
            <v>EC2521450700-01E</v>
          </cell>
          <cell r="J85" t="str">
            <v>Core Factory</v>
          </cell>
          <cell r="K85" t="str">
            <v>Core</v>
          </cell>
          <cell r="L85" t="str">
            <v>Material Issue</v>
          </cell>
          <cell r="M85" t="str">
            <v>Helper</v>
          </cell>
          <cell r="N85">
            <v>45464</v>
          </cell>
          <cell r="O85">
            <v>1.7068493150684931</v>
          </cell>
          <cell r="P85" t="str">
            <v>S</v>
          </cell>
          <cell r="Q85">
            <v>0</v>
          </cell>
          <cell r="R85">
            <v>0</v>
          </cell>
          <cell r="S85" t="str">
            <v>P</v>
          </cell>
          <cell r="T85">
            <v>0</v>
          </cell>
          <cell r="U85">
            <v>2</v>
          </cell>
          <cell r="V85" t="str">
            <v>P</v>
          </cell>
          <cell r="W85">
            <v>0</v>
          </cell>
          <cell r="X85">
            <v>2</v>
          </cell>
          <cell r="Y85" t="str">
            <v>P</v>
          </cell>
          <cell r="Z85">
            <v>0</v>
          </cell>
          <cell r="AA85">
            <v>2</v>
          </cell>
          <cell r="AB85" t="str">
            <v>P</v>
          </cell>
          <cell r="AC85">
            <v>0</v>
          </cell>
          <cell r="AD85">
            <v>2</v>
          </cell>
          <cell r="AE85" t="str">
            <v>P</v>
          </cell>
          <cell r="AF85">
            <v>0</v>
          </cell>
          <cell r="AG85">
            <v>2</v>
          </cell>
          <cell r="AH85" t="str">
            <v>P</v>
          </cell>
          <cell r="AI85">
            <v>0</v>
          </cell>
          <cell r="AJ85">
            <v>1.5</v>
          </cell>
          <cell r="AK85" t="str">
            <v>S</v>
          </cell>
          <cell r="AL85">
            <v>0</v>
          </cell>
          <cell r="AM85">
            <v>0</v>
          </cell>
          <cell r="AN85" t="str">
            <v>P</v>
          </cell>
          <cell r="AO85">
            <v>0</v>
          </cell>
          <cell r="AP85">
            <v>2</v>
          </cell>
          <cell r="AQ85" t="str">
            <v>P</v>
          </cell>
          <cell r="AR85">
            <v>0</v>
          </cell>
          <cell r="AS85">
            <v>2</v>
          </cell>
          <cell r="AT85" t="str">
            <v>HD</v>
          </cell>
          <cell r="AU85">
            <v>0</v>
          </cell>
          <cell r="AV85">
            <v>1</v>
          </cell>
          <cell r="AW85" t="str">
            <v>A</v>
          </cell>
          <cell r="AX85">
            <v>0</v>
          </cell>
          <cell r="AY85">
            <v>0</v>
          </cell>
          <cell r="AZ85" t="str">
            <v>A</v>
          </cell>
          <cell r="BA85">
            <v>0</v>
          </cell>
          <cell r="BB85">
            <v>0</v>
          </cell>
          <cell r="BC85" t="str">
            <v>A</v>
          </cell>
          <cell r="BD85">
            <v>0</v>
          </cell>
          <cell r="BE85">
            <v>0</v>
          </cell>
          <cell r="BF85" t="str">
            <v>A</v>
          </cell>
          <cell r="BG85">
            <v>0</v>
          </cell>
          <cell r="BH85">
            <v>0</v>
          </cell>
          <cell r="BI85" t="str">
            <v>A</v>
          </cell>
          <cell r="BJ85">
            <v>0</v>
          </cell>
          <cell r="BK85">
            <v>0</v>
          </cell>
          <cell r="BL85" t="str">
            <v>A</v>
          </cell>
          <cell r="BM85">
            <v>0</v>
          </cell>
          <cell r="BN85">
            <v>0</v>
          </cell>
          <cell r="BO85" t="str">
            <v>A</v>
          </cell>
          <cell r="BP85">
            <v>0</v>
          </cell>
          <cell r="BQ85">
            <v>0</v>
          </cell>
          <cell r="BR85" t="str">
            <v>A</v>
          </cell>
          <cell r="BS85">
            <v>0</v>
          </cell>
          <cell r="BT85">
            <v>0</v>
          </cell>
          <cell r="BU85" t="str">
            <v>A</v>
          </cell>
          <cell r="BV85">
            <v>0</v>
          </cell>
          <cell r="BW85">
            <v>0</v>
          </cell>
          <cell r="BX85" t="str">
            <v>A</v>
          </cell>
          <cell r="BY85">
            <v>0</v>
          </cell>
          <cell r="BZ85">
            <v>0</v>
          </cell>
          <cell r="CA85" t="str">
            <v>A</v>
          </cell>
          <cell r="CB85">
            <v>0</v>
          </cell>
          <cell r="CC85">
            <v>0</v>
          </cell>
          <cell r="CD85" t="str">
            <v>A</v>
          </cell>
          <cell r="CE85">
            <v>0</v>
          </cell>
          <cell r="CF85">
            <v>0</v>
          </cell>
          <cell r="CG85" t="str">
            <v>A</v>
          </cell>
          <cell r="CH85">
            <v>0</v>
          </cell>
          <cell r="CI85">
            <v>0</v>
          </cell>
          <cell r="CJ85" t="str">
            <v>A</v>
          </cell>
          <cell r="CK85">
            <v>0</v>
          </cell>
          <cell r="CL85">
            <v>0</v>
          </cell>
          <cell r="CM85" t="str">
            <v>A</v>
          </cell>
          <cell r="CN85">
            <v>0</v>
          </cell>
          <cell r="CO85">
            <v>0</v>
          </cell>
          <cell r="CP85" t="str">
            <v>A</v>
          </cell>
          <cell r="CQ85">
            <v>0</v>
          </cell>
          <cell r="CR85">
            <v>0</v>
          </cell>
          <cell r="CS85" t="str">
            <v>A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0.5</v>
          </cell>
          <cell r="DF85">
            <v>8.5</v>
          </cell>
          <cell r="DG85">
            <v>0</v>
          </cell>
          <cell r="DH85">
            <v>16.5</v>
          </cell>
          <cell r="DI85">
            <v>17.5</v>
          </cell>
          <cell r="DJ85">
            <v>0</v>
          </cell>
          <cell r="DK85">
            <v>0</v>
          </cell>
          <cell r="DL85">
            <v>2</v>
          </cell>
          <cell r="DM85">
            <v>8.5</v>
          </cell>
          <cell r="DN85">
            <v>28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</row>
        <row r="86">
          <cell r="D86" t="str">
            <v>CFCP0740</v>
          </cell>
          <cell r="E86" t="str">
            <v>Active</v>
          </cell>
          <cell r="F86" t="str">
            <v>Direct</v>
          </cell>
          <cell r="G86" t="str">
            <v>Parmar Ketanbhai Jivabhai</v>
          </cell>
          <cell r="H86" t="str">
            <v>Direct Labour Wage</v>
          </cell>
          <cell r="I86" t="str">
            <v>EC2521450656-01E</v>
          </cell>
          <cell r="J86" t="str">
            <v>Core Factory</v>
          </cell>
          <cell r="K86" t="str">
            <v>Coil Winding</v>
          </cell>
          <cell r="L86" t="str">
            <v>Insulation</v>
          </cell>
          <cell r="M86" t="str">
            <v>Helper</v>
          </cell>
          <cell r="N86">
            <v>45510</v>
          </cell>
          <cell r="O86">
            <v>1.5808219178082192</v>
          </cell>
          <cell r="P86" t="str">
            <v>S</v>
          </cell>
          <cell r="Q86">
            <v>0</v>
          </cell>
          <cell r="R86">
            <v>0</v>
          </cell>
          <cell r="S86" t="str">
            <v>P</v>
          </cell>
          <cell r="T86">
            <v>0</v>
          </cell>
          <cell r="U86">
            <v>0</v>
          </cell>
          <cell r="V86" t="str">
            <v>A</v>
          </cell>
          <cell r="W86">
            <v>0</v>
          </cell>
          <cell r="X86">
            <v>0</v>
          </cell>
          <cell r="Y86" t="str">
            <v>P</v>
          </cell>
          <cell r="Z86">
            <v>0</v>
          </cell>
          <cell r="AA86">
            <v>0</v>
          </cell>
          <cell r="AB86" t="str">
            <v>P</v>
          </cell>
          <cell r="AC86">
            <v>0</v>
          </cell>
          <cell r="AD86">
            <v>0</v>
          </cell>
          <cell r="AE86" t="str">
            <v>P</v>
          </cell>
          <cell r="AF86">
            <v>0</v>
          </cell>
          <cell r="AG86">
            <v>0</v>
          </cell>
          <cell r="AH86" t="str">
            <v>A</v>
          </cell>
          <cell r="AI86">
            <v>0</v>
          </cell>
          <cell r="AJ86">
            <v>0</v>
          </cell>
          <cell r="AK86" t="str">
            <v>S</v>
          </cell>
          <cell r="AL86">
            <v>0</v>
          </cell>
          <cell r="AM86">
            <v>0</v>
          </cell>
          <cell r="AN86" t="str">
            <v>P</v>
          </cell>
          <cell r="AO86">
            <v>0</v>
          </cell>
          <cell r="AP86">
            <v>0</v>
          </cell>
          <cell r="AQ86" t="str">
            <v>A</v>
          </cell>
          <cell r="AR86">
            <v>0</v>
          </cell>
          <cell r="AS86">
            <v>0</v>
          </cell>
          <cell r="AT86" t="str">
            <v>A</v>
          </cell>
          <cell r="AU86">
            <v>0</v>
          </cell>
          <cell r="AV86">
            <v>0</v>
          </cell>
          <cell r="AW86" t="str">
            <v>A</v>
          </cell>
          <cell r="AX86">
            <v>0</v>
          </cell>
          <cell r="AY86">
            <v>0</v>
          </cell>
          <cell r="AZ86" t="str">
            <v>A</v>
          </cell>
          <cell r="BA86">
            <v>0</v>
          </cell>
          <cell r="BB86">
            <v>0</v>
          </cell>
          <cell r="BC86" t="str">
            <v>A</v>
          </cell>
          <cell r="BD86">
            <v>0</v>
          </cell>
          <cell r="BE86">
            <v>0</v>
          </cell>
          <cell r="BF86" t="str">
            <v>S</v>
          </cell>
          <cell r="BG86">
            <v>0</v>
          </cell>
          <cell r="BH86">
            <v>0</v>
          </cell>
          <cell r="BI86" t="str">
            <v>P</v>
          </cell>
          <cell r="BJ86">
            <v>0</v>
          </cell>
          <cell r="BK86">
            <v>0</v>
          </cell>
          <cell r="BL86" t="str">
            <v>P</v>
          </cell>
          <cell r="BM86">
            <v>0</v>
          </cell>
          <cell r="BN86">
            <v>0</v>
          </cell>
          <cell r="BO86" t="str">
            <v>P</v>
          </cell>
          <cell r="BP86">
            <v>0</v>
          </cell>
          <cell r="BQ86">
            <v>0</v>
          </cell>
          <cell r="BR86" t="str">
            <v>P</v>
          </cell>
          <cell r="BS86">
            <v>0</v>
          </cell>
          <cell r="BT86">
            <v>0</v>
          </cell>
          <cell r="BU86" t="str">
            <v>P</v>
          </cell>
          <cell r="BV86">
            <v>0</v>
          </cell>
          <cell r="BW86">
            <v>0</v>
          </cell>
          <cell r="BX86" t="str">
            <v>P</v>
          </cell>
          <cell r="BY86">
            <v>0</v>
          </cell>
          <cell r="BZ86">
            <v>0</v>
          </cell>
          <cell r="CA86" t="str">
            <v>S</v>
          </cell>
          <cell r="CB86">
            <v>0</v>
          </cell>
          <cell r="CC86">
            <v>0</v>
          </cell>
          <cell r="CD86" t="str">
            <v>P</v>
          </cell>
          <cell r="CE86">
            <v>0</v>
          </cell>
          <cell r="CF86">
            <v>0</v>
          </cell>
          <cell r="CG86" t="str">
            <v>P</v>
          </cell>
          <cell r="CH86">
            <v>0</v>
          </cell>
          <cell r="CI86">
            <v>0</v>
          </cell>
          <cell r="CJ86" t="str">
            <v>P</v>
          </cell>
          <cell r="CK86">
            <v>0</v>
          </cell>
          <cell r="CL86">
            <v>0</v>
          </cell>
          <cell r="CM86" t="str">
            <v>P</v>
          </cell>
          <cell r="CN86">
            <v>0</v>
          </cell>
          <cell r="CO86">
            <v>0</v>
          </cell>
          <cell r="CP86" t="str">
            <v>P</v>
          </cell>
          <cell r="CQ86">
            <v>0</v>
          </cell>
          <cell r="CR86">
            <v>0</v>
          </cell>
          <cell r="CS86" t="str">
            <v>P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17</v>
          </cell>
          <cell r="DG86">
            <v>0</v>
          </cell>
          <cell r="DH86">
            <v>0</v>
          </cell>
          <cell r="DI86">
            <v>7</v>
          </cell>
          <cell r="DJ86">
            <v>0</v>
          </cell>
          <cell r="DK86">
            <v>0</v>
          </cell>
          <cell r="DL86">
            <v>4</v>
          </cell>
          <cell r="DM86">
            <v>17</v>
          </cell>
          <cell r="DN86">
            <v>28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</row>
        <row r="87">
          <cell r="D87" t="str">
            <v>CFCP0733</v>
          </cell>
          <cell r="E87" t="str">
            <v>Active</v>
          </cell>
          <cell r="F87" t="str">
            <v>Direct</v>
          </cell>
          <cell r="G87" t="str">
            <v>Dharmendrasinh Balvantsinh Sindha</v>
          </cell>
          <cell r="H87" t="str">
            <v>Direct Labour Wage</v>
          </cell>
          <cell r="I87" t="str">
            <v>EC2521450617-01E</v>
          </cell>
          <cell r="J87" t="str">
            <v>Core Factory</v>
          </cell>
          <cell r="K87" t="str">
            <v>Mu-Metal</v>
          </cell>
          <cell r="L87" t="str">
            <v>Winding</v>
          </cell>
          <cell r="M87" t="str">
            <v>Operator</v>
          </cell>
          <cell r="N87">
            <v>45582</v>
          </cell>
          <cell r="O87">
            <v>1.3835616438356164</v>
          </cell>
          <cell r="P87" t="str">
            <v>S</v>
          </cell>
          <cell r="Q87">
            <v>0</v>
          </cell>
          <cell r="R87">
            <v>0</v>
          </cell>
          <cell r="S87" t="str">
            <v>P</v>
          </cell>
          <cell r="T87">
            <v>0</v>
          </cell>
          <cell r="U87">
            <v>0</v>
          </cell>
          <cell r="V87" t="str">
            <v>P</v>
          </cell>
          <cell r="W87">
            <v>0</v>
          </cell>
          <cell r="X87">
            <v>0</v>
          </cell>
          <cell r="Y87" t="str">
            <v>P</v>
          </cell>
          <cell r="Z87">
            <v>0</v>
          </cell>
          <cell r="AA87">
            <v>0</v>
          </cell>
          <cell r="AB87" t="str">
            <v>P</v>
          </cell>
          <cell r="AC87">
            <v>0</v>
          </cell>
          <cell r="AD87">
            <v>0</v>
          </cell>
          <cell r="AE87" t="str">
            <v>P</v>
          </cell>
          <cell r="AF87">
            <v>0</v>
          </cell>
          <cell r="AG87">
            <v>0</v>
          </cell>
          <cell r="AH87" t="str">
            <v>P</v>
          </cell>
          <cell r="AI87">
            <v>0</v>
          </cell>
          <cell r="AJ87">
            <v>0</v>
          </cell>
          <cell r="AK87" t="str">
            <v>S</v>
          </cell>
          <cell r="AL87">
            <v>0</v>
          </cell>
          <cell r="AM87">
            <v>0</v>
          </cell>
          <cell r="AN87" t="str">
            <v>P</v>
          </cell>
          <cell r="AO87">
            <v>0</v>
          </cell>
          <cell r="AP87">
            <v>0</v>
          </cell>
          <cell r="AQ87" t="str">
            <v>P</v>
          </cell>
          <cell r="AR87">
            <v>0</v>
          </cell>
          <cell r="AS87">
            <v>0</v>
          </cell>
          <cell r="AT87" t="str">
            <v>P</v>
          </cell>
          <cell r="AU87">
            <v>0</v>
          </cell>
          <cell r="AV87">
            <v>0</v>
          </cell>
          <cell r="AW87" t="str">
            <v>P</v>
          </cell>
          <cell r="AX87">
            <v>0</v>
          </cell>
          <cell r="AY87">
            <v>0</v>
          </cell>
          <cell r="AZ87" t="str">
            <v>P</v>
          </cell>
          <cell r="BA87">
            <v>0</v>
          </cell>
          <cell r="BB87">
            <v>0</v>
          </cell>
          <cell r="BC87" t="str">
            <v>P</v>
          </cell>
          <cell r="BD87">
            <v>0</v>
          </cell>
          <cell r="BE87">
            <v>0</v>
          </cell>
          <cell r="BF87" t="str">
            <v>S</v>
          </cell>
          <cell r="BG87">
            <v>0</v>
          </cell>
          <cell r="BH87">
            <v>0</v>
          </cell>
          <cell r="BI87" t="str">
            <v>P</v>
          </cell>
          <cell r="BJ87">
            <v>0</v>
          </cell>
          <cell r="BK87">
            <v>0</v>
          </cell>
          <cell r="BL87" t="str">
            <v>A</v>
          </cell>
          <cell r="BM87">
            <v>0</v>
          </cell>
          <cell r="BN87">
            <v>0</v>
          </cell>
          <cell r="BO87" t="str">
            <v>P</v>
          </cell>
          <cell r="BP87">
            <v>0</v>
          </cell>
          <cell r="BQ87">
            <v>0</v>
          </cell>
          <cell r="BR87" t="str">
            <v>P</v>
          </cell>
          <cell r="BS87">
            <v>0</v>
          </cell>
          <cell r="BT87">
            <v>0</v>
          </cell>
          <cell r="BU87" t="str">
            <v>P</v>
          </cell>
          <cell r="BV87">
            <v>0</v>
          </cell>
          <cell r="BW87">
            <v>0</v>
          </cell>
          <cell r="BX87" t="str">
            <v>P</v>
          </cell>
          <cell r="BY87">
            <v>0</v>
          </cell>
          <cell r="BZ87">
            <v>0</v>
          </cell>
          <cell r="CA87" t="str">
            <v>S</v>
          </cell>
          <cell r="CB87">
            <v>0</v>
          </cell>
          <cell r="CC87">
            <v>0</v>
          </cell>
          <cell r="CD87" t="str">
            <v>P</v>
          </cell>
          <cell r="CE87">
            <v>0</v>
          </cell>
          <cell r="CF87">
            <v>0</v>
          </cell>
          <cell r="CG87" t="str">
            <v>P</v>
          </cell>
          <cell r="CH87">
            <v>0</v>
          </cell>
          <cell r="CI87">
            <v>0</v>
          </cell>
          <cell r="CJ87" t="str">
            <v>P</v>
          </cell>
          <cell r="CK87">
            <v>0</v>
          </cell>
          <cell r="CL87">
            <v>0</v>
          </cell>
          <cell r="CM87" t="str">
            <v>P</v>
          </cell>
          <cell r="CN87">
            <v>0</v>
          </cell>
          <cell r="CO87">
            <v>0</v>
          </cell>
          <cell r="CP87" t="str">
            <v>P</v>
          </cell>
          <cell r="CQ87">
            <v>0</v>
          </cell>
          <cell r="CR87">
            <v>0</v>
          </cell>
          <cell r="CS87" t="str">
            <v>P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23</v>
          </cell>
          <cell r="DG87">
            <v>0</v>
          </cell>
          <cell r="DH87">
            <v>0</v>
          </cell>
          <cell r="DI87">
            <v>1</v>
          </cell>
          <cell r="DJ87">
            <v>0</v>
          </cell>
          <cell r="DK87">
            <v>0</v>
          </cell>
          <cell r="DL87">
            <v>4</v>
          </cell>
          <cell r="DM87">
            <v>23</v>
          </cell>
          <cell r="DN87">
            <v>28</v>
          </cell>
          <cell r="DO87">
            <v>0</v>
          </cell>
          <cell r="DP87">
            <v>0</v>
          </cell>
          <cell r="DQ87">
            <v>0</v>
          </cell>
          <cell r="DR87">
            <v>300</v>
          </cell>
        </row>
        <row r="88">
          <cell r="D88" t="str">
            <v>CFCP0760</v>
          </cell>
          <cell r="E88" t="str">
            <v>Active</v>
          </cell>
          <cell r="F88" t="str">
            <v>Direct</v>
          </cell>
          <cell r="G88" t="str">
            <v>Chudasama Vipulkumar Mahipatsinh</v>
          </cell>
          <cell r="H88" t="str">
            <v>Direct Labour Wage</v>
          </cell>
          <cell r="I88" t="str">
            <v>EC2414422972-01E</v>
          </cell>
          <cell r="J88" t="str">
            <v>Core Factory</v>
          </cell>
          <cell r="K88" t="str">
            <v>Mu-Metal</v>
          </cell>
          <cell r="L88" t="str">
            <v>Winding</v>
          </cell>
          <cell r="M88" t="str">
            <v>Operator</v>
          </cell>
          <cell r="N88">
            <v>45323</v>
          </cell>
          <cell r="O88">
            <v>2.0931506849315067</v>
          </cell>
          <cell r="P88" t="str">
            <v>S</v>
          </cell>
          <cell r="Q88">
            <v>0</v>
          </cell>
          <cell r="R88">
            <v>0</v>
          </cell>
          <cell r="S88" t="str">
            <v>P</v>
          </cell>
          <cell r="T88">
            <v>0</v>
          </cell>
          <cell r="U88">
            <v>0</v>
          </cell>
          <cell r="V88" t="str">
            <v>P</v>
          </cell>
          <cell r="W88">
            <v>0</v>
          </cell>
          <cell r="X88">
            <v>0</v>
          </cell>
          <cell r="Y88" t="str">
            <v>P</v>
          </cell>
          <cell r="Z88">
            <v>0</v>
          </cell>
          <cell r="AA88">
            <v>0</v>
          </cell>
          <cell r="AB88" t="str">
            <v>A</v>
          </cell>
          <cell r="AC88">
            <v>0</v>
          </cell>
          <cell r="AD88">
            <v>0</v>
          </cell>
          <cell r="AE88" t="str">
            <v>P</v>
          </cell>
          <cell r="AF88">
            <v>0</v>
          </cell>
          <cell r="AG88">
            <v>0</v>
          </cell>
          <cell r="AH88" t="str">
            <v>P</v>
          </cell>
          <cell r="AI88">
            <v>0</v>
          </cell>
          <cell r="AJ88">
            <v>0</v>
          </cell>
          <cell r="AK88" t="str">
            <v>S</v>
          </cell>
          <cell r="AL88">
            <v>0</v>
          </cell>
          <cell r="AM88">
            <v>0</v>
          </cell>
          <cell r="AN88" t="str">
            <v>P</v>
          </cell>
          <cell r="AO88">
            <v>0</v>
          </cell>
          <cell r="AP88">
            <v>0</v>
          </cell>
          <cell r="AQ88" t="str">
            <v>A</v>
          </cell>
          <cell r="AR88">
            <v>0</v>
          </cell>
          <cell r="AS88">
            <v>0</v>
          </cell>
          <cell r="AT88" t="str">
            <v>A</v>
          </cell>
          <cell r="AU88">
            <v>0</v>
          </cell>
          <cell r="AV88">
            <v>0</v>
          </cell>
          <cell r="AW88" t="str">
            <v>A</v>
          </cell>
          <cell r="AX88">
            <v>0</v>
          </cell>
          <cell r="AY88">
            <v>0</v>
          </cell>
          <cell r="AZ88" t="str">
            <v>A</v>
          </cell>
          <cell r="BA88">
            <v>0</v>
          </cell>
          <cell r="BB88">
            <v>0</v>
          </cell>
          <cell r="BC88" t="str">
            <v>A</v>
          </cell>
          <cell r="BD88">
            <v>0</v>
          </cell>
          <cell r="BE88">
            <v>0</v>
          </cell>
          <cell r="BF88" t="str">
            <v>A</v>
          </cell>
          <cell r="BG88">
            <v>0</v>
          </cell>
          <cell r="BH88">
            <v>0</v>
          </cell>
          <cell r="BI88" t="str">
            <v>A</v>
          </cell>
          <cell r="BJ88">
            <v>0</v>
          </cell>
          <cell r="BK88">
            <v>0</v>
          </cell>
          <cell r="BL88" t="str">
            <v>A</v>
          </cell>
          <cell r="BM88">
            <v>0</v>
          </cell>
          <cell r="BN88">
            <v>0</v>
          </cell>
          <cell r="BO88" t="str">
            <v>A</v>
          </cell>
          <cell r="BP88">
            <v>0</v>
          </cell>
          <cell r="BQ88">
            <v>0</v>
          </cell>
          <cell r="BR88" t="str">
            <v>A</v>
          </cell>
          <cell r="BS88">
            <v>0</v>
          </cell>
          <cell r="BT88">
            <v>0</v>
          </cell>
          <cell r="BU88" t="str">
            <v>A</v>
          </cell>
          <cell r="BV88">
            <v>0</v>
          </cell>
          <cell r="BW88">
            <v>0</v>
          </cell>
          <cell r="BX88" t="str">
            <v>A</v>
          </cell>
          <cell r="BY88">
            <v>0</v>
          </cell>
          <cell r="BZ88">
            <v>0</v>
          </cell>
          <cell r="CA88" t="str">
            <v>A</v>
          </cell>
          <cell r="CB88">
            <v>0</v>
          </cell>
          <cell r="CC88">
            <v>0</v>
          </cell>
          <cell r="CD88" t="str">
            <v>A</v>
          </cell>
          <cell r="CE88">
            <v>0</v>
          </cell>
          <cell r="CF88">
            <v>0</v>
          </cell>
          <cell r="CG88" t="str">
            <v>A</v>
          </cell>
          <cell r="CH88">
            <v>0</v>
          </cell>
          <cell r="CI88">
            <v>0</v>
          </cell>
          <cell r="CJ88" t="str">
            <v>A</v>
          </cell>
          <cell r="CK88">
            <v>0</v>
          </cell>
          <cell r="CL88">
            <v>0</v>
          </cell>
          <cell r="CM88" t="str">
            <v>A</v>
          </cell>
          <cell r="CN88">
            <v>0</v>
          </cell>
          <cell r="CO88">
            <v>0</v>
          </cell>
          <cell r="CP88" t="str">
            <v>A</v>
          </cell>
          <cell r="CQ88">
            <v>0</v>
          </cell>
          <cell r="CR88">
            <v>0</v>
          </cell>
          <cell r="CS88" t="str">
            <v>A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6</v>
          </cell>
          <cell r="DG88">
            <v>0</v>
          </cell>
          <cell r="DH88">
            <v>0</v>
          </cell>
          <cell r="DI88">
            <v>20</v>
          </cell>
          <cell r="DJ88">
            <v>0</v>
          </cell>
          <cell r="DK88">
            <v>0</v>
          </cell>
          <cell r="DL88">
            <v>2</v>
          </cell>
          <cell r="DM88">
            <v>6</v>
          </cell>
          <cell r="DN88">
            <v>28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</row>
        <row r="89">
          <cell r="D89" t="str">
            <v>CFCP0397</v>
          </cell>
          <cell r="E89" t="str">
            <v>Active</v>
          </cell>
          <cell r="F89" t="str">
            <v>Direct</v>
          </cell>
          <cell r="G89" t="str">
            <v>Sachin Ramsumer Patel</v>
          </cell>
          <cell r="H89" t="str">
            <v>Direct Labour Wage</v>
          </cell>
          <cell r="I89" t="str">
            <v>EC2414422850-01E</v>
          </cell>
          <cell r="J89" t="str">
            <v>Core Factory</v>
          </cell>
          <cell r="K89" t="str">
            <v>Core</v>
          </cell>
          <cell r="L89" t="str">
            <v>Core Winding</v>
          </cell>
          <cell r="M89" t="str">
            <v>Operator</v>
          </cell>
          <cell r="N89">
            <v>43645</v>
          </cell>
          <cell r="O89">
            <v>6.6904109589041099</v>
          </cell>
          <cell r="P89" t="str">
            <v>T</v>
          </cell>
          <cell r="Q89">
            <v>0</v>
          </cell>
          <cell r="R89">
            <v>0</v>
          </cell>
          <cell r="S89" t="str">
            <v>T</v>
          </cell>
          <cell r="T89">
            <v>0</v>
          </cell>
          <cell r="U89">
            <v>0</v>
          </cell>
          <cell r="V89" t="str">
            <v>T</v>
          </cell>
          <cell r="W89">
            <v>0</v>
          </cell>
          <cell r="X89">
            <v>0</v>
          </cell>
          <cell r="Y89" t="str">
            <v>T</v>
          </cell>
          <cell r="Z89">
            <v>0</v>
          </cell>
          <cell r="AA89">
            <v>0</v>
          </cell>
          <cell r="AB89" t="str">
            <v>T</v>
          </cell>
          <cell r="AC89">
            <v>0</v>
          </cell>
          <cell r="AD89">
            <v>0</v>
          </cell>
          <cell r="AE89" t="str">
            <v>T</v>
          </cell>
          <cell r="AF89">
            <v>0</v>
          </cell>
          <cell r="AG89">
            <v>0</v>
          </cell>
          <cell r="AH89" t="str">
            <v>T</v>
          </cell>
          <cell r="AI89">
            <v>0</v>
          </cell>
          <cell r="AJ89">
            <v>0</v>
          </cell>
          <cell r="AK89" t="str">
            <v>T</v>
          </cell>
          <cell r="AL89">
            <v>0</v>
          </cell>
          <cell r="AM89">
            <v>0</v>
          </cell>
          <cell r="AN89" t="str">
            <v>T</v>
          </cell>
          <cell r="AO89">
            <v>0</v>
          </cell>
          <cell r="AP89">
            <v>0</v>
          </cell>
          <cell r="AQ89" t="str">
            <v>T</v>
          </cell>
          <cell r="AR89">
            <v>0</v>
          </cell>
          <cell r="AS89">
            <v>0</v>
          </cell>
          <cell r="AT89" t="str">
            <v>T</v>
          </cell>
          <cell r="AU89">
            <v>0</v>
          </cell>
          <cell r="AV89">
            <v>0</v>
          </cell>
          <cell r="AW89" t="str">
            <v>T</v>
          </cell>
          <cell r="AX89">
            <v>0</v>
          </cell>
          <cell r="AY89">
            <v>0</v>
          </cell>
          <cell r="AZ89" t="str">
            <v>T</v>
          </cell>
          <cell r="BA89">
            <v>0</v>
          </cell>
          <cell r="BB89">
            <v>0</v>
          </cell>
          <cell r="BC89" t="str">
            <v>T</v>
          </cell>
          <cell r="BD89">
            <v>0</v>
          </cell>
          <cell r="BE89">
            <v>0</v>
          </cell>
          <cell r="BF89" t="str">
            <v>T</v>
          </cell>
          <cell r="BG89">
            <v>0</v>
          </cell>
          <cell r="BH89">
            <v>0</v>
          </cell>
          <cell r="BI89" t="str">
            <v>T</v>
          </cell>
          <cell r="BJ89">
            <v>0</v>
          </cell>
          <cell r="BK89">
            <v>0</v>
          </cell>
          <cell r="BL89" t="str">
            <v>T</v>
          </cell>
          <cell r="BM89">
            <v>0</v>
          </cell>
          <cell r="BN89">
            <v>0</v>
          </cell>
          <cell r="BO89" t="str">
            <v>T</v>
          </cell>
          <cell r="BP89">
            <v>0</v>
          </cell>
          <cell r="BQ89">
            <v>0</v>
          </cell>
          <cell r="BR89" t="str">
            <v>T</v>
          </cell>
          <cell r="BS89">
            <v>0</v>
          </cell>
          <cell r="BT89">
            <v>0</v>
          </cell>
          <cell r="BU89" t="str">
            <v>T</v>
          </cell>
          <cell r="BV89">
            <v>0</v>
          </cell>
          <cell r="BW89">
            <v>0</v>
          </cell>
          <cell r="BX89" t="str">
            <v>T</v>
          </cell>
          <cell r="BY89">
            <v>0</v>
          </cell>
          <cell r="BZ89">
            <v>0</v>
          </cell>
          <cell r="CA89" t="str">
            <v>T</v>
          </cell>
          <cell r="CB89">
            <v>0</v>
          </cell>
          <cell r="CC89">
            <v>0</v>
          </cell>
          <cell r="CD89" t="str">
            <v>P</v>
          </cell>
          <cell r="CE89">
            <v>0</v>
          </cell>
          <cell r="CF89">
            <v>1.5</v>
          </cell>
          <cell r="CG89" t="str">
            <v>T</v>
          </cell>
          <cell r="CH89">
            <v>0</v>
          </cell>
          <cell r="CI89">
            <v>0</v>
          </cell>
          <cell r="CJ89" t="str">
            <v>T</v>
          </cell>
          <cell r="CK89">
            <v>0</v>
          </cell>
          <cell r="CL89">
            <v>0</v>
          </cell>
          <cell r="CM89" t="str">
            <v>T</v>
          </cell>
          <cell r="CN89">
            <v>0</v>
          </cell>
          <cell r="CO89">
            <v>0</v>
          </cell>
          <cell r="CP89" t="str">
            <v>T</v>
          </cell>
          <cell r="CQ89">
            <v>0</v>
          </cell>
          <cell r="CR89">
            <v>0</v>
          </cell>
          <cell r="CS89" t="str">
            <v>P</v>
          </cell>
          <cell r="CT89">
            <v>0</v>
          </cell>
          <cell r="CU89">
            <v>5.5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2</v>
          </cell>
          <cell r="DG89">
            <v>0</v>
          </cell>
          <cell r="DH89">
            <v>7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2</v>
          </cell>
          <cell r="DN89">
            <v>28</v>
          </cell>
          <cell r="DO89">
            <v>26</v>
          </cell>
          <cell r="DP89">
            <v>0</v>
          </cell>
          <cell r="DQ89">
            <v>0</v>
          </cell>
          <cell r="DR89">
            <v>0</v>
          </cell>
        </row>
        <row r="90">
          <cell r="D90" t="str">
            <v>CFCP0046</v>
          </cell>
          <cell r="E90" t="str">
            <v>Active</v>
          </cell>
          <cell r="F90" t="str">
            <v>Direct</v>
          </cell>
          <cell r="G90" t="str">
            <v>RAMU BABU LAL</v>
          </cell>
          <cell r="H90" t="str">
            <v>Direct Labour Wage</v>
          </cell>
          <cell r="I90" t="str">
            <v>EC2414422788-01E</v>
          </cell>
          <cell r="J90" t="str">
            <v>Core Factory</v>
          </cell>
          <cell r="K90" t="str">
            <v>Core</v>
          </cell>
          <cell r="L90" t="str">
            <v>Core Winding</v>
          </cell>
          <cell r="M90" t="str">
            <v>Helper</v>
          </cell>
          <cell r="N90">
            <v>44435</v>
          </cell>
          <cell r="O90">
            <v>4.5260273972602736</v>
          </cell>
          <cell r="P90" t="str">
            <v>S</v>
          </cell>
          <cell r="Q90">
            <v>0</v>
          </cell>
          <cell r="R90">
            <v>0</v>
          </cell>
          <cell r="S90" t="str">
            <v>T</v>
          </cell>
          <cell r="T90">
            <v>0</v>
          </cell>
          <cell r="U90">
            <v>0</v>
          </cell>
          <cell r="V90" t="str">
            <v>T</v>
          </cell>
          <cell r="W90">
            <v>0</v>
          </cell>
          <cell r="X90">
            <v>0</v>
          </cell>
          <cell r="Y90" t="str">
            <v>T</v>
          </cell>
          <cell r="Z90">
            <v>0</v>
          </cell>
          <cell r="AA90">
            <v>0</v>
          </cell>
          <cell r="AB90" t="str">
            <v>T</v>
          </cell>
          <cell r="AC90">
            <v>0</v>
          </cell>
          <cell r="AD90">
            <v>0</v>
          </cell>
          <cell r="AE90" t="str">
            <v>T</v>
          </cell>
          <cell r="AF90">
            <v>0</v>
          </cell>
          <cell r="AG90">
            <v>0</v>
          </cell>
          <cell r="AH90" t="str">
            <v>T</v>
          </cell>
          <cell r="AI90">
            <v>0</v>
          </cell>
          <cell r="AJ90">
            <v>0</v>
          </cell>
          <cell r="AK90" t="str">
            <v>T</v>
          </cell>
          <cell r="AL90">
            <v>0</v>
          </cell>
          <cell r="AM90">
            <v>0</v>
          </cell>
          <cell r="AN90" t="str">
            <v>T</v>
          </cell>
          <cell r="AO90">
            <v>0</v>
          </cell>
          <cell r="AP90">
            <v>0</v>
          </cell>
          <cell r="AQ90" t="str">
            <v>T</v>
          </cell>
          <cell r="AR90">
            <v>0</v>
          </cell>
          <cell r="AS90">
            <v>0</v>
          </cell>
          <cell r="AT90" t="str">
            <v>T</v>
          </cell>
          <cell r="AU90">
            <v>0</v>
          </cell>
          <cell r="AV90">
            <v>0</v>
          </cell>
          <cell r="AW90" t="str">
            <v>T</v>
          </cell>
          <cell r="AX90">
            <v>0</v>
          </cell>
          <cell r="AY90">
            <v>0</v>
          </cell>
          <cell r="AZ90" t="str">
            <v>T</v>
          </cell>
          <cell r="BA90">
            <v>0</v>
          </cell>
          <cell r="BB90">
            <v>0</v>
          </cell>
          <cell r="BC90" t="str">
            <v>T</v>
          </cell>
          <cell r="BD90">
            <v>0</v>
          </cell>
          <cell r="BE90">
            <v>0</v>
          </cell>
          <cell r="BF90" t="str">
            <v>S</v>
          </cell>
          <cell r="BG90">
            <v>0</v>
          </cell>
          <cell r="BH90">
            <v>0</v>
          </cell>
          <cell r="BI90" t="str">
            <v>T</v>
          </cell>
          <cell r="BJ90">
            <v>0</v>
          </cell>
          <cell r="BK90">
            <v>0</v>
          </cell>
          <cell r="BL90" t="str">
            <v>T</v>
          </cell>
          <cell r="BM90">
            <v>0</v>
          </cell>
          <cell r="BN90">
            <v>0</v>
          </cell>
          <cell r="BO90" t="str">
            <v>T</v>
          </cell>
          <cell r="BP90">
            <v>0</v>
          </cell>
          <cell r="BQ90">
            <v>0</v>
          </cell>
          <cell r="BR90" t="str">
            <v>A</v>
          </cell>
          <cell r="BS90">
            <v>0</v>
          </cell>
          <cell r="BT90">
            <v>0</v>
          </cell>
          <cell r="BU90" t="str">
            <v>T</v>
          </cell>
          <cell r="BV90">
            <v>0</v>
          </cell>
          <cell r="BW90">
            <v>0</v>
          </cell>
          <cell r="BX90" t="str">
            <v>T</v>
          </cell>
          <cell r="BY90">
            <v>0</v>
          </cell>
          <cell r="BZ90">
            <v>0</v>
          </cell>
          <cell r="CA90" t="str">
            <v>S</v>
          </cell>
          <cell r="CB90">
            <v>0</v>
          </cell>
          <cell r="CC90">
            <v>0</v>
          </cell>
          <cell r="CD90" t="str">
            <v>T</v>
          </cell>
          <cell r="CE90">
            <v>0</v>
          </cell>
          <cell r="CF90">
            <v>0</v>
          </cell>
          <cell r="CG90" t="str">
            <v>T</v>
          </cell>
          <cell r="CH90">
            <v>0</v>
          </cell>
          <cell r="CI90">
            <v>0</v>
          </cell>
          <cell r="CJ90" t="str">
            <v>T</v>
          </cell>
          <cell r="CK90">
            <v>0</v>
          </cell>
          <cell r="CL90">
            <v>0</v>
          </cell>
          <cell r="CM90" t="str">
            <v>P</v>
          </cell>
          <cell r="CN90">
            <v>0</v>
          </cell>
          <cell r="CO90">
            <v>1</v>
          </cell>
          <cell r="CP90" t="str">
            <v>P</v>
          </cell>
          <cell r="CQ90">
            <v>0</v>
          </cell>
          <cell r="CR90">
            <v>1.5</v>
          </cell>
          <cell r="CS90" t="str">
            <v>P</v>
          </cell>
          <cell r="CT90">
            <v>0</v>
          </cell>
          <cell r="CU90">
            <v>0.5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3</v>
          </cell>
          <cell r="DG90">
            <v>0</v>
          </cell>
          <cell r="DH90">
            <v>3</v>
          </cell>
          <cell r="DI90">
            <v>1</v>
          </cell>
          <cell r="DJ90">
            <v>0</v>
          </cell>
          <cell r="DK90">
            <v>0</v>
          </cell>
          <cell r="DL90">
            <v>3</v>
          </cell>
          <cell r="DM90">
            <v>3</v>
          </cell>
          <cell r="DN90">
            <v>28</v>
          </cell>
          <cell r="DO90">
            <v>21</v>
          </cell>
          <cell r="DP90">
            <v>0</v>
          </cell>
          <cell r="DQ90">
            <v>0</v>
          </cell>
          <cell r="DR90">
            <v>0</v>
          </cell>
        </row>
        <row r="91">
          <cell r="D91" t="str">
            <v>CFCP0809</v>
          </cell>
          <cell r="E91" t="str">
            <v>Active</v>
          </cell>
          <cell r="F91" t="str">
            <v>In Direct</v>
          </cell>
          <cell r="G91" t="str">
            <v>Arpit Gaur Shyam Sundar</v>
          </cell>
          <cell r="H91" t="str">
            <v>InDirect Labour Wage</v>
          </cell>
          <cell r="I91" t="str">
            <v>EC2521450576-01E</v>
          </cell>
          <cell r="J91" t="str">
            <v>Core Factory</v>
          </cell>
          <cell r="K91" t="str">
            <v>Core</v>
          </cell>
          <cell r="L91" t="str">
            <v>Finishing</v>
          </cell>
          <cell r="M91" t="str">
            <v>Helper</v>
          </cell>
          <cell r="N91">
            <v>45421</v>
          </cell>
          <cell r="O91">
            <v>1.8246575342465754</v>
          </cell>
          <cell r="P91" t="str">
            <v>T</v>
          </cell>
          <cell r="Q91">
            <v>0</v>
          </cell>
          <cell r="R91">
            <v>0</v>
          </cell>
          <cell r="S91" t="str">
            <v>T</v>
          </cell>
          <cell r="T91">
            <v>0</v>
          </cell>
          <cell r="U91">
            <v>0</v>
          </cell>
          <cell r="V91" t="str">
            <v>T</v>
          </cell>
          <cell r="W91">
            <v>0</v>
          </cell>
          <cell r="X91">
            <v>0</v>
          </cell>
          <cell r="Y91" t="str">
            <v>T</v>
          </cell>
          <cell r="Z91">
            <v>0</v>
          </cell>
          <cell r="AA91">
            <v>0</v>
          </cell>
          <cell r="AB91" t="str">
            <v>T</v>
          </cell>
          <cell r="AC91">
            <v>0</v>
          </cell>
          <cell r="AD91">
            <v>0</v>
          </cell>
          <cell r="AE91" t="str">
            <v>P</v>
          </cell>
          <cell r="AF91">
            <v>0</v>
          </cell>
          <cell r="AG91">
            <v>2</v>
          </cell>
          <cell r="AH91" t="str">
            <v>T</v>
          </cell>
          <cell r="AI91">
            <v>0</v>
          </cell>
          <cell r="AJ91">
            <v>0</v>
          </cell>
          <cell r="AK91" t="str">
            <v>T</v>
          </cell>
          <cell r="AL91">
            <v>0</v>
          </cell>
          <cell r="AM91">
            <v>0</v>
          </cell>
          <cell r="AN91" t="str">
            <v>T</v>
          </cell>
          <cell r="AO91">
            <v>0</v>
          </cell>
          <cell r="AP91">
            <v>0</v>
          </cell>
          <cell r="AQ91" t="str">
            <v>T</v>
          </cell>
          <cell r="AR91">
            <v>0</v>
          </cell>
          <cell r="AS91">
            <v>0</v>
          </cell>
          <cell r="AT91" t="str">
            <v>T</v>
          </cell>
          <cell r="AU91">
            <v>0</v>
          </cell>
          <cell r="AV91">
            <v>0</v>
          </cell>
          <cell r="AW91" t="str">
            <v>T</v>
          </cell>
          <cell r="AX91">
            <v>0</v>
          </cell>
          <cell r="AY91">
            <v>0</v>
          </cell>
          <cell r="AZ91" t="str">
            <v>P</v>
          </cell>
          <cell r="BA91">
            <v>0</v>
          </cell>
          <cell r="BB91">
            <v>0</v>
          </cell>
          <cell r="BC91" t="str">
            <v>T</v>
          </cell>
          <cell r="BD91">
            <v>0</v>
          </cell>
          <cell r="BE91">
            <v>0</v>
          </cell>
          <cell r="BF91" t="str">
            <v>S</v>
          </cell>
          <cell r="BG91">
            <v>0</v>
          </cell>
          <cell r="BH91">
            <v>0</v>
          </cell>
          <cell r="BI91" t="str">
            <v>T</v>
          </cell>
          <cell r="BJ91">
            <v>0</v>
          </cell>
          <cell r="BK91">
            <v>0</v>
          </cell>
          <cell r="BL91" t="str">
            <v>T</v>
          </cell>
          <cell r="BM91">
            <v>0</v>
          </cell>
          <cell r="BN91">
            <v>0</v>
          </cell>
          <cell r="BO91" t="str">
            <v>P</v>
          </cell>
          <cell r="BP91">
            <v>0</v>
          </cell>
          <cell r="BQ91">
            <v>2</v>
          </cell>
          <cell r="BR91" t="str">
            <v>T</v>
          </cell>
          <cell r="BS91">
            <v>0</v>
          </cell>
          <cell r="BT91">
            <v>0</v>
          </cell>
          <cell r="BU91" t="str">
            <v>A</v>
          </cell>
          <cell r="BV91">
            <v>0</v>
          </cell>
          <cell r="BW91">
            <v>0</v>
          </cell>
          <cell r="BX91" t="str">
            <v>A</v>
          </cell>
          <cell r="BY91">
            <v>0</v>
          </cell>
          <cell r="BZ91">
            <v>0</v>
          </cell>
          <cell r="CA91" t="str">
            <v>A</v>
          </cell>
          <cell r="CB91">
            <v>0</v>
          </cell>
          <cell r="CC91">
            <v>0</v>
          </cell>
          <cell r="CD91" t="str">
            <v>A</v>
          </cell>
          <cell r="CE91">
            <v>0</v>
          </cell>
          <cell r="CF91">
            <v>0</v>
          </cell>
          <cell r="CG91" t="str">
            <v>A</v>
          </cell>
          <cell r="CH91">
            <v>0</v>
          </cell>
          <cell r="CI91">
            <v>0</v>
          </cell>
          <cell r="CJ91" t="str">
            <v>A</v>
          </cell>
          <cell r="CK91">
            <v>0</v>
          </cell>
          <cell r="CL91">
            <v>0</v>
          </cell>
          <cell r="CM91" t="str">
            <v>A</v>
          </cell>
          <cell r="CN91">
            <v>0</v>
          </cell>
          <cell r="CO91">
            <v>0</v>
          </cell>
          <cell r="CP91" t="str">
            <v>A</v>
          </cell>
          <cell r="CQ91">
            <v>0</v>
          </cell>
          <cell r="CR91">
            <v>0</v>
          </cell>
          <cell r="CS91" t="str">
            <v>A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3</v>
          </cell>
          <cell r="DG91">
            <v>0</v>
          </cell>
          <cell r="DH91">
            <v>4</v>
          </cell>
          <cell r="DI91">
            <v>9</v>
          </cell>
          <cell r="DJ91">
            <v>0</v>
          </cell>
          <cell r="DK91">
            <v>0</v>
          </cell>
          <cell r="DL91">
            <v>1</v>
          </cell>
          <cell r="DM91">
            <v>3</v>
          </cell>
          <cell r="DN91">
            <v>28</v>
          </cell>
          <cell r="DO91">
            <v>15</v>
          </cell>
          <cell r="DP91">
            <v>0</v>
          </cell>
          <cell r="DQ91">
            <v>0</v>
          </cell>
          <cell r="DR91">
            <v>200</v>
          </cell>
        </row>
        <row r="92">
          <cell r="D92" t="str">
            <v>CFCP0843</v>
          </cell>
          <cell r="E92" t="str">
            <v>Active</v>
          </cell>
          <cell r="F92" t="str">
            <v>Direct</v>
          </cell>
          <cell r="G92" t="str">
            <v>HARI PAL RAMKEVAL SAROJ</v>
          </cell>
          <cell r="H92" t="str">
            <v>Direct Labour Wage</v>
          </cell>
          <cell r="I92" t="str">
            <v>EC2521450663-01E</v>
          </cell>
          <cell r="J92" t="str">
            <v>Core Factory</v>
          </cell>
          <cell r="K92" t="str">
            <v>Core</v>
          </cell>
          <cell r="L92" t="str">
            <v>Color Resin</v>
          </cell>
          <cell r="M92" t="str">
            <v>Helper</v>
          </cell>
          <cell r="N92">
            <v>45621</v>
          </cell>
          <cell r="O92">
            <v>1.2767123287671234</v>
          </cell>
          <cell r="P92" t="str">
            <v>T</v>
          </cell>
          <cell r="Q92">
            <v>0</v>
          </cell>
          <cell r="R92">
            <v>0</v>
          </cell>
          <cell r="S92" t="str">
            <v>T</v>
          </cell>
          <cell r="T92">
            <v>0</v>
          </cell>
          <cell r="U92">
            <v>0</v>
          </cell>
          <cell r="V92" t="str">
            <v>T</v>
          </cell>
          <cell r="W92">
            <v>0</v>
          </cell>
          <cell r="X92">
            <v>0</v>
          </cell>
          <cell r="Y92" t="str">
            <v>T</v>
          </cell>
          <cell r="Z92">
            <v>0</v>
          </cell>
          <cell r="AA92">
            <v>0</v>
          </cell>
          <cell r="AB92" t="str">
            <v>T</v>
          </cell>
          <cell r="AC92">
            <v>0</v>
          </cell>
          <cell r="AD92">
            <v>0</v>
          </cell>
          <cell r="AE92" t="str">
            <v>T</v>
          </cell>
          <cell r="AF92">
            <v>0</v>
          </cell>
          <cell r="AG92">
            <v>0</v>
          </cell>
          <cell r="AH92" t="str">
            <v>T</v>
          </cell>
          <cell r="AI92">
            <v>0</v>
          </cell>
          <cell r="AJ92">
            <v>0</v>
          </cell>
          <cell r="AK92" t="str">
            <v>T</v>
          </cell>
          <cell r="AL92">
            <v>0</v>
          </cell>
          <cell r="AM92">
            <v>0</v>
          </cell>
          <cell r="AN92" t="str">
            <v>A</v>
          </cell>
          <cell r="AO92">
            <v>0</v>
          </cell>
          <cell r="AP92">
            <v>0</v>
          </cell>
          <cell r="AQ92" t="str">
            <v>T</v>
          </cell>
          <cell r="AR92">
            <v>0</v>
          </cell>
          <cell r="AS92">
            <v>0</v>
          </cell>
          <cell r="AT92" t="str">
            <v>T</v>
          </cell>
          <cell r="AU92">
            <v>0</v>
          </cell>
          <cell r="AV92">
            <v>0</v>
          </cell>
          <cell r="AW92" t="str">
            <v>T</v>
          </cell>
          <cell r="AX92">
            <v>0</v>
          </cell>
          <cell r="AY92">
            <v>0</v>
          </cell>
          <cell r="AZ92" t="str">
            <v>T</v>
          </cell>
          <cell r="BA92">
            <v>0</v>
          </cell>
          <cell r="BB92">
            <v>0</v>
          </cell>
          <cell r="BC92" t="str">
            <v>T</v>
          </cell>
          <cell r="BD92">
            <v>0</v>
          </cell>
          <cell r="BE92">
            <v>0</v>
          </cell>
          <cell r="BF92" t="str">
            <v>T</v>
          </cell>
          <cell r="BG92">
            <v>0</v>
          </cell>
          <cell r="BH92">
            <v>0</v>
          </cell>
          <cell r="BI92" t="str">
            <v>T</v>
          </cell>
          <cell r="BJ92">
            <v>0</v>
          </cell>
          <cell r="BK92">
            <v>0</v>
          </cell>
          <cell r="BL92" t="str">
            <v>T</v>
          </cell>
          <cell r="BM92">
            <v>0</v>
          </cell>
          <cell r="BN92">
            <v>0</v>
          </cell>
          <cell r="BO92" t="str">
            <v>T</v>
          </cell>
          <cell r="BP92">
            <v>0</v>
          </cell>
          <cell r="BQ92">
            <v>0</v>
          </cell>
          <cell r="BR92" t="str">
            <v>T</v>
          </cell>
          <cell r="BS92">
            <v>0</v>
          </cell>
          <cell r="BT92">
            <v>0</v>
          </cell>
          <cell r="BU92" t="str">
            <v>T</v>
          </cell>
          <cell r="BV92">
            <v>0</v>
          </cell>
          <cell r="BW92">
            <v>0</v>
          </cell>
          <cell r="BX92" t="str">
            <v>T</v>
          </cell>
          <cell r="BY92">
            <v>0</v>
          </cell>
          <cell r="BZ92">
            <v>0</v>
          </cell>
          <cell r="CA92" t="str">
            <v>T</v>
          </cell>
          <cell r="CB92">
            <v>0</v>
          </cell>
          <cell r="CC92">
            <v>0</v>
          </cell>
          <cell r="CD92" t="str">
            <v>T</v>
          </cell>
          <cell r="CE92">
            <v>0</v>
          </cell>
          <cell r="CF92">
            <v>0</v>
          </cell>
          <cell r="CG92" t="str">
            <v>T</v>
          </cell>
          <cell r="CH92">
            <v>0</v>
          </cell>
          <cell r="CI92">
            <v>0</v>
          </cell>
          <cell r="CJ92" t="str">
            <v>T</v>
          </cell>
          <cell r="CK92">
            <v>0</v>
          </cell>
          <cell r="CL92">
            <v>0</v>
          </cell>
          <cell r="CM92" t="str">
            <v>T</v>
          </cell>
          <cell r="CN92">
            <v>0</v>
          </cell>
          <cell r="CO92">
            <v>0</v>
          </cell>
          <cell r="CP92" t="str">
            <v>T</v>
          </cell>
          <cell r="CQ92">
            <v>0</v>
          </cell>
          <cell r="CR92">
            <v>0</v>
          </cell>
          <cell r="CS92" t="str">
            <v>T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1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28</v>
          </cell>
          <cell r="DO92">
            <v>27</v>
          </cell>
          <cell r="DP92">
            <v>0</v>
          </cell>
          <cell r="DQ92">
            <v>0</v>
          </cell>
          <cell r="DR92">
            <v>0</v>
          </cell>
        </row>
        <row r="93">
          <cell r="D93" t="str">
            <v>CFCP0853</v>
          </cell>
          <cell r="E93" t="str">
            <v>Active</v>
          </cell>
          <cell r="F93" t="str">
            <v>Direct</v>
          </cell>
          <cell r="G93" t="str">
            <v>Karan Ramkali</v>
          </cell>
          <cell r="H93" t="str">
            <v>Direct Labour Wage</v>
          </cell>
          <cell r="I93" t="str">
            <v>EC2521450577-01E</v>
          </cell>
          <cell r="J93" t="str">
            <v>Core Factory</v>
          </cell>
          <cell r="K93" t="str">
            <v>Core</v>
          </cell>
          <cell r="L93" t="str">
            <v>Core Winding</v>
          </cell>
          <cell r="M93" t="str">
            <v>Helper</v>
          </cell>
          <cell r="N93">
            <v>45643</v>
          </cell>
          <cell r="O93">
            <v>1.2164383561643837</v>
          </cell>
          <cell r="P93" t="str">
            <v>S</v>
          </cell>
          <cell r="Q93">
            <v>0</v>
          </cell>
          <cell r="R93">
            <v>5.5</v>
          </cell>
          <cell r="S93" t="str">
            <v>T</v>
          </cell>
          <cell r="T93">
            <v>0</v>
          </cell>
          <cell r="U93">
            <v>0</v>
          </cell>
          <cell r="V93" t="str">
            <v>P</v>
          </cell>
          <cell r="W93">
            <v>0</v>
          </cell>
          <cell r="X93">
            <v>1</v>
          </cell>
          <cell r="Y93" t="str">
            <v>P</v>
          </cell>
          <cell r="Z93">
            <v>0</v>
          </cell>
          <cell r="AA93">
            <v>2</v>
          </cell>
          <cell r="AB93" t="str">
            <v>A</v>
          </cell>
          <cell r="AC93">
            <v>0</v>
          </cell>
          <cell r="AD93">
            <v>0</v>
          </cell>
          <cell r="AE93" t="str">
            <v>P</v>
          </cell>
          <cell r="AF93">
            <v>0</v>
          </cell>
          <cell r="AG93">
            <v>1.5</v>
          </cell>
          <cell r="AH93" t="str">
            <v>P</v>
          </cell>
          <cell r="AI93">
            <v>0</v>
          </cell>
          <cell r="AJ93">
            <v>2</v>
          </cell>
          <cell r="AK93" t="str">
            <v>S</v>
          </cell>
          <cell r="AL93">
            <v>0</v>
          </cell>
          <cell r="AM93">
            <v>5</v>
          </cell>
          <cell r="AN93" t="str">
            <v>P</v>
          </cell>
          <cell r="AO93">
            <v>0</v>
          </cell>
          <cell r="AP93">
            <v>1</v>
          </cell>
          <cell r="AQ93" t="str">
            <v>P</v>
          </cell>
          <cell r="AR93">
            <v>0</v>
          </cell>
          <cell r="AS93">
            <v>2</v>
          </cell>
          <cell r="AT93" t="str">
            <v>T</v>
          </cell>
          <cell r="AU93">
            <v>0</v>
          </cell>
          <cell r="AV93">
            <v>0</v>
          </cell>
          <cell r="AW93" t="str">
            <v>T</v>
          </cell>
          <cell r="AX93">
            <v>0</v>
          </cell>
          <cell r="AY93">
            <v>0</v>
          </cell>
          <cell r="AZ93" t="str">
            <v>T</v>
          </cell>
          <cell r="BA93">
            <v>0</v>
          </cell>
          <cell r="BB93">
            <v>0</v>
          </cell>
          <cell r="BC93" t="str">
            <v>T</v>
          </cell>
          <cell r="BD93">
            <v>0</v>
          </cell>
          <cell r="BE93">
            <v>0</v>
          </cell>
          <cell r="BF93" t="str">
            <v>S</v>
          </cell>
          <cell r="BG93">
            <v>0</v>
          </cell>
          <cell r="BH93">
            <v>0</v>
          </cell>
          <cell r="BI93" t="str">
            <v>T</v>
          </cell>
          <cell r="BJ93">
            <v>0</v>
          </cell>
          <cell r="BK93">
            <v>0</v>
          </cell>
          <cell r="BL93" t="str">
            <v>T</v>
          </cell>
          <cell r="BM93">
            <v>0</v>
          </cell>
          <cell r="BN93">
            <v>0</v>
          </cell>
          <cell r="BO93" t="str">
            <v>T</v>
          </cell>
          <cell r="BP93">
            <v>0</v>
          </cell>
          <cell r="BQ93">
            <v>0</v>
          </cell>
          <cell r="BR93" t="str">
            <v>T</v>
          </cell>
          <cell r="BS93">
            <v>0</v>
          </cell>
          <cell r="BT93">
            <v>0</v>
          </cell>
          <cell r="BU93" t="str">
            <v>T</v>
          </cell>
          <cell r="BV93">
            <v>0</v>
          </cell>
          <cell r="BW93">
            <v>0</v>
          </cell>
          <cell r="BX93" t="str">
            <v>T</v>
          </cell>
          <cell r="BY93">
            <v>0</v>
          </cell>
          <cell r="BZ93">
            <v>0</v>
          </cell>
          <cell r="CA93" t="str">
            <v>T</v>
          </cell>
          <cell r="CB93">
            <v>0</v>
          </cell>
          <cell r="CC93">
            <v>0</v>
          </cell>
          <cell r="CD93" t="str">
            <v>T</v>
          </cell>
          <cell r="CE93">
            <v>0</v>
          </cell>
          <cell r="CF93">
            <v>0</v>
          </cell>
          <cell r="CG93" t="str">
            <v>T</v>
          </cell>
          <cell r="CH93">
            <v>0</v>
          </cell>
          <cell r="CI93">
            <v>0</v>
          </cell>
          <cell r="CJ93" t="str">
            <v>T</v>
          </cell>
          <cell r="CK93">
            <v>0</v>
          </cell>
          <cell r="CL93">
            <v>0</v>
          </cell>
          <cell r="CM93" t="str">
            <v>T</v>
          </cell>
          <cell r="CN93">
            <v>0</v>
          </cell>
          <cell r="CO93">
            <v>0</v>
          </cell>
          <cell r="CP93" t="str">
            <v>T</v>
          </cell>
          <cell r="CQ93">
            <v>0</v>
          </cell>
          <cell r="CR93">
            <v>0</v>
          </cell>
          <cell r="CS93" t="str">
            <v>HD</v>
          </cell>
          <cell r="CT93">
            <v>0</v>
          </cell>
          <cell r="CU93">
            <v>1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0.5</v>
          </cell>
          <cell r="DF93">
            <v>6.5</v>
          </cell>
          <cell r="DG93">
            <v>0</v>
          </cell>
          <cell r="DH93">
            <v>21</v>
          </cell>
          <cell r="DI93">
            <v>1.5</v>
          </cell>
          <cell r="DJ93">
            <v>0</v>
          </cell>
          <cell r="DK93">
            <v>0</v>
          </cell>
          <cell r="DL93">
            <v>3</v>
          </cell>
          <cell r="DM93">
            <v>6.5</v>
          </cell>
          <cell r="DN93">
            <v>28</v>
          </cell>
          <cell r="DO93">
            <v>17</v>
          </cell>
          <cell r="DP93">
            <v>0</v>
          </cell>
          <cell r="DQ93">
            <v>0</v>
          </cell>
          <cell r="DR93">
            <v>0</v>
          </cell>
        </row>
        <row r="94">
          <cell r="D94" t="str">
            <v>CFCP0864</v>
          </cell>
          <cell r="E94" t="str">
            <v>Active</v>
          </cell>
          <cell r="F94" t="str">
            <v>Direct</v>
          </cell>
          <cell r="G94" t="str">
            <v>Deepak kumar Ram sumer</v>
          </cell>
          <cell r="H94" t="str">
            <v>Direct Labour Wage</v>
          </cell>
          <cell r="I94" t="str">
            <v>EC2521450578-01E</v>
          </cell>
          <cell r="J94" t="str">
            <v>Core Factory</v>
          </cell>
          <cell r="K94" t="str">
            <v>Coil Winding</v>
          </cell>
          <cell r="L94" t="str">
            <v>Testing</v>
          </cell>
          <cell r="M94" t="str">
            <v>Technician</v>
          </cell>
          <cell r="N94">
            <v>45666</v>
          </cell>
          <cell r="O94">
            <v>1.1534246575342466</v>
          </cell>
          <cell r="P94" t="str">
            <v>S</v>
          </cell>
          <cell r="Q94">
            <v>0</v>
          </cell>
          <cell r="R94">
            <v>0</v>
          </cell>
          <cell r="S94" t="str">
            <v>P</v>
          </cell>
          <cell r="T94">
            <v>0</v>
          </cell>
          <cell r="U94">
            <v>2</v>
          </cell>
          <cell r="V94" t="str">
            <v>P</v>
          </cell>
          <cell r="W94">
            <v>0</v>
          </cell>
          <cell r="X94">
            <v>2</v>
          </cell>
          <cell r="Y94" t="str">
            <v>P</v>
          </cell>
          <cell r="Z94">
            <v>0</v>
          </cell>
          <cell r="AA94">
            <v>2</v>
          </cell>
          <cell r="AB94" t="str">
            <v>P</v>
          </cell>
          <cell r="AC94">
            <v>0</v>
          </cell>
          <cell r="AD94">
            <v>2</v>
          </cell>
          <cell r="AE94" t="str">
            <v>P</v>
          </cell>
          <cell r="AF94">
            <v>0</v>
          </cell>
          <cell r="AG94">
            <v>2</v>
          </cell>
          <cell r="AH94" t="str">
            <v>P</v>
          </cell>
          <cell r="AI94">
            <v>0</v>
          </cell>
          <cell r="AJ94">
            <v>2</v>
          </cell>
          <cell r="AK94" t="str">
            <v>S</v>
          </cell>
          <cell r="AL94">
            <v>0</v>
          </cell>
          <cell r="AM94">
            <v>4.5</v>
          </cell>
          <cell r="AN94" t="str">
            <v>A</v>
          </cell>
          <cell r="AO94">
            <v>0</v>
          </cell>
          <cell r="AP94">
            <v>0</v>
          </cell>
          <cell r="AQ94" t="str">
            <v>P</v>
          </cell>
          <cell r="AR94">
            <v>0</v>
          </cell>
          <cell r="AS94">
            <v>2</v>
          </cell>
          <cell r="AT94" t="str">
            <v>P</v>
          </cell>
          <cell r="AU94">
            <v>0</v>
          </cell>
          <cell r="AV94">
            <v>2</v>
          </cell>
          <cell r="AW94" t="str">
            <v>P</v>
          </cell>
          <cell r="AX94">
            <v>0</v>
          </cell>
          <cell r="AY94">
            <v>2</v>
          </cell>
          <cell r="AZ94" t="str">
            <v>P</v>
          </cell>
          <cell r="BA94">
            <v>0</v>
          </cell>
          <cell r="BB94">
            <v>2</v>
          </cell>
          <cell r="BC94" t="str">
            <v>P</v>
          </cell>
          <cell r="BD94">
            <v>0</v>
          </cell>
          <cell r="BE94">
            <v>2</v>
          </cell>
          <cell r="BF94" t="str">
            <v>S</v>
          </cell>
          <cell r="BG94">
            <v>0</v>
          </cell>
          <cell r="BH94">
            <v>0</v>
          </cell>
          <cell r="BI94" t="str">
            <v>P</v>
          </cell>
          <cell r="BJ94">
            <v>0</v>
          </cell>
          <cell r="BK94">
            <v>2</v>
          </cell>
          <cell r="BL94" t="str">
            <v>P</v>
          </cell>
          <cell r="BM94">
            <v>0</v>
          </cell>
          <cell r="BN94">
            <v>2</v>
          </cell>
          <cell r="BO94" t="str">
            <v>P</v>
          </cell>
          <cell r="BP94">
            <v>0</v>
          </cell>
          <cell r="BQ94">
            <v>2</v>
          </cell>
          <cell r="BR94" t="str">
            <v>P</v>
          </cell>
          <cell r="BS94">
            <v>0</v>
          </cell>
          <cell r="BT94">
            <v>2</v>
          </cell>
          <cell r="BU94" t="str">
            <v>P</v>
          </cell>
          <cell r="BV94">
            <v>0</v>
          </cell>
          <cell r="BW94">
            <v>2</v>
          </cell>
          <cell r="BX94" t="str">
            <v>P</v>
          </cell>
          <cell r="BY94">
            <v>0</v>
          </cell>
          <cell r="BZ94">
            <v>2</v>
          </cell>
          <cell r="CA94" t="str">
            <v>S</v>
          </cell>
          <cell r="CB94">
            <v>0</v>
          </cell>
          <cell r="CC94">
            <v>5</v>
          </cell>
          <cell r="CD94" t="str">
            <v>P</v>
          </cell>
          <cell r="CE94">
            <v>0</v>
          </cell>
          <cell r="CF94">
            <v>2</v>
          </cell>
          <cell r="CG94" t="str">
            <v>P</v>
          </cell>
          <cell r="CH94">
            <v>0</v>
          </cell>
          <cell r="CI94">
            <v>2</v>
          </cell>
          <cell r="CJ94" t="str">
            <v>A</v>
          </cell>
          <cell r="CK94">
            <v>0</v>
          </cell>
          <cell r="CL94">
            <v>2</v>
          </cell>
          <cell r="CM94" t="str">
            <v>P</v>
          </cell>
          <cell r="CN94">
            <v>0</v>
          </cell>
          <cell r="CO94">
            <v>2</v>
          </cell>
          <cell r="CP94" t="str">
            <v>P</v>
          </cell>
          <cell r="CQ94">
            <v>0</v>
          </cell>
          <cell r="CR94">
            <v>2</v>
          </cell>
          <cell r="CS94" t="str">
            <v>P</v>
          </cell>
          <cell r="CT94">
            <v>0</v>
          </cell>
          <cell r="CU94">
            <v>2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22</v>
          </cell>
          <cell r="DG94">
            <v>0</v>
          </cell>
          <cell r="DH94">
            <v>55.5</v>
          </cell>
          <cell r="DI94">
            <v>2</v>
          </cell>
          <cell r="DJ94">
            <v>0</v>
          </cell>
          <cell r="DK94">
            <v>0</v>
          </cell>
          <cell r="DL94">
            <v>4</v>
          </cell>
          <cell r="DM94">
            <v>22</v>
          </cell>
          <cell r="DN94">
            <v>28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</row>
        <row r="95">
          <cell r="D95" t="str">
            <v>CFCP0222</v>
          </cell>
          <cell r="E95" t="str">
            <v>Active</v>
          </cell>
          <cell r="F95" t="str">
            <v>Direct</v>
          </cell>
          <cell r="G95" t="str">
            <v>Rohit Kumar Pancham</v>
          </cell>
          <cell r="H95" t="str">
            <v>Direct Labour Wage</v>
          </cell>
          <cell r="I95" t="str">
            <v>EC2414422787-01E</v>
          </cell>
          <cell r="J95" t="str">
            <v>Core Factory</v>
          </cell>
          <cell r="K95" t="str">
            <v>Coil Winding</v>
          </cell>
          <cell r="L95" t="str">
            <v>Primary Winding</v>
          </cell>
          <cell r="M95" t="str">
            <v>Operator</v>
          </cell>
          <cell r="N95">
            <v>45092</v>
          </cell>
          <cell r="O95">
            <v>2.7260273972602738</v>
          </cell>
          <cell r="P95" t="str">
            <v>T</v>
          </cell>
          <cell r="Q95">
            <v>0</v>
          </cell>
          <cell r="R95">
            <v>0</v>
          </cell>
          <cell r="S95" t="str">
            <v>T</v>
          </cell>
          <cell r="T95">
            <v>0</v>
          </cell>
          <cell r="U95">
            <v>0</v>
          </cell>
          <cell r="V95" t="str">
            <v>T</v>
          </cell>
          <cell r="W95">
            <v>0</v>
          </cell>
          <cell r="X95">
            <v>0</v>
          </cell>
          <cell r="Y95" t="str">
            <v>T</v>
          </cell>
          <cell r="Z95">
            <v>0</v>
          </cell>
          <cell r="AA95">
            <v>0</v>
          </cell>
          <cell r="AB95" t="str">
            <v>T</v>
          </cell>
          <cell r="AC95">
            <v>0</v>
          </cell>
          <cell r="AD95">
            <v>0</v>
          </cell>
          <cell r="AE95" t="str">
            <v>T</v>
          </cell>
          <cell r="AF95">
            <v>0</v>
          </cell>
          <cell r="AG95">
            <v>0</v>
          </cell>
          <cell r="AH95" t="str">
            <v>T</v>
          </cell>
          <cell r="AI95">
            <v>0</v>
          </cell>
          <cell r="AJ95">
            <v>0</v>
          </cell>
          <cell r="AK95" t="str">
            <v>T</v>
          </cell>
          <cell r="AL95">
            <v>0</v>
          </cell>
          <cell r="AM95">
            <v>0</v>
          </cell>
          <cell r="AN95" t="str">
            <v>T</v>
          </cell>
          <cell r="AO95">
            <v>0</v>
          </cell>
          <cell r="AP95">
            <v>0</v>
          </cell>
          <cell r="AQ95" t="str">
            <v>A</v>
          </cell>
          <cell r="AR95">
            <v>0</v>
          </cell>
          <cell r="AS95">
            <v>0</v>
          </cell>
          <cell r="AT95" t="str">
            <v>A</v>
          </cell>
          <cell r="AU95">
            <v>0</v>
          </cell>
          <cell r="AV95">
            <v>0</v>
          </cell>
          <cell r="AW95" t="str">
            <v>A</v>
          </cell>
          <cell r="AX95">
            <v>0</v>
          </cell>
          <cell r="AY95">
            <v>0</v>
          </cell>
          <cell r="AZ95" t="str">
            <v>A</v>
          </cell>
          <cell r="BA95">
            <v>0</v>
          </cell>
          <cell r="BB95">
            <v>0</v>
          </cell>
          <cell r="BC95" t="str">
            <v>A</v>
          </cell>
          <cell r="BD95">
            <v>0</v>
          </cell>
          <cell r="BE95">
            <v>0</v>
          </cell>
          <cell r="BF95" t="str">
            <v>A</v>
          </cell>
          <cell r="BG95">
            <v>0</v>
          </cell>
          <cell r="BH95">
            <v>0</v>
          </cell>
          <cell r="BI95" t="str">
            <v>A</v>
          </cell>
          <cell r="BJ95">
            <v>0</v>
          </cell>
          <cell r="BK95">
            <v>0</v>
          </cell>
          <cell r="BL95" t="str">
            <v>A</v>
          </cell>
          <cell r="BM95">
            <v>0</v>
          </cell>
          <cell r="BN95">
            <v>0</v>
          </cell>
          <cell r="BO95" t="str">
            <v>A</v>
          </cell>
          <cell r="BP95">
            <v>0</v>
          </cell>
          <cell r="BQ95">
            <v>0</v>
          </cell>
          <cell r="BR95" t="str">
            <v>A</v>
          </cell>
          <cell r="BS95">
            <v>0</v>
          </cell>
          <cell r="BT95">
            <v>0</v>
          </cell>
          <cell r="BU95" t="str">
            <v>A</v>
          </cell>
          <cell r="BV95">
            <v>0</v>
          </cell>
          <cell r="BW95">
            <v>0</v>
          </cell>
          <cell r="BX95" t="str">
            <v>A</v>
          </cell>
          <cell r="BY95">
            <v>0</v>
          </cell>
          <cell r="BZ95">
            <v>0</v>
          </cell>
          <cell r="CA95" t="str">
            <v>A</v>
          </cell>
          <cell r="CB95">
            <v>0</v>
          </cell>
          <cell r="CC95">
            <v>0</v>
          </cell>
          <cell r="CD95" t="str">
            <v>A</v>
          </cell>
          <cell r="CE95">
            <v>0</v>
          </cell>
          <cell r="CF95">
            <v>0</v>
          </cell>
          <cell r="CG95" t="str">
            <v>A</v>
          </cell>
          <cell r="CH95">
            <v>0</v>
          </cell>
          <cell r="CI95">
            <v>0</v>
          </cell>
          <cell r="CJ95" t="str">
            <v>A</v>
          </cell>
          <cell r="CK95">
            <v>0</v>
          </cell>
          <cell r="CL95">
            <v>0</v>
          </cell>
          <cell r="CM95" t="str">
            <v>A</v>
          </cell>
          <cell r="CN95">
            <v>0</v>
          </cell>
          <cell r="CO95">
            <v>0</v>
          </cell>
          <cell r="CP95" t="str">
            <v>A</v>
          </cell>
          <cell r="CQ95">
            <v>0</v>
          </cell>
          <cell r="CR95">
            <v>0</v>
          </cell>
          <cell r="CS95" t="str">
            <v>A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19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28</v>
          </cell>
          <cell r="DO95">
            <v>9</v>
          </cell>
          <cell r="DP95">
            <v>0</v>
          </cell>
          <cell r="DQ95">
            <v>0</v>
          </cell>
          <cell r="DR95">
            <v>0</v>
          </cell>
        </row>
        <row r="96">
          <cell r="D96" t="str">
            <v>CFCP0870</v>
          </cell>
          <cell r="E96" t="str">
            <v>Active</v>
          </cell>
          <cell r="F96" t="str">
            <v>Direct</v>
          </cell>
          <cell r="G96" t="str">
            <v>Mohan Lal Angan Lal</v>
          </cell>
          <cell r="H96" t="str">
            <v>Direct Labour Wage</v>
          </cell>
          <cell r="I96" t="str">
            <v>EC2521450667-01E</v>
          </cell>
          <cell r="J96" t="str">
            <v>Core Factory</v>
          </cell>
          <cell r="K96" t="str">
            <v>Core</v>
          </cell>
          <cell r="L96" t="str">
            <v>Core Winding</v>
          </cell>
          <cell r="M96" t="str">
            <v>Operator</v>
          </cell>
          <cell r="N96">
            <v>45682</v>
          </cell>
          <cell r="O96">
            <v>1.1095890410958904</v>
          </cell>
          <cell r="P96" t="str">
            <v>T</v>
          </cell>
          <cell r="Q96">
            <v>0</v>
          </cell>
          <cell r="R96">
            <v>0</v>
          </cell>
          <cell r="S96" t="str">
            <v>T</v>
          </cell>
          <cell r="T96">
            <v>0</v>
          </cell>
          <cell r="U96">
            <v>0</v>
          </cell>
          <cell r="V96" t="str">
            <v>T</v>
          </cell>
          <cell r="W96">
            <v>0</v>
          </cell>
          <cell r="X96">
            <v>0</v>
          </cell>
          <cell r="Y96" t="str">
            <v>T</v>
          </cell>
          <cell r="Z96">
            <v>0</v>
          </cell>
          <cell r="AA96">
            <v>0</v>
          </cell>
          <cell r="AB96" t="str">
            <v>T</v>
          </cell>
          <cell r="AC96">
            <v>0</v>
          </cell>
          <cell r="AD96">
            <v>0</v>
          </cell>
          <cell r="AE96" t="str">
            <v>T</v>
          </cell>
          <cell r="AF96">
            <v>0</v>
          </cell>
          <cell r="AG96">
            <v>0</v>
          </cell>
          <cell r="AH96" t="str">
            <v>T</v>
          </cell>
          <cell r="AI96">
            <v>0</v>
          </cell>
          <cell r="AJ96">
            <v>0</v>
          </cell>
          <cell r="AK96" t="str">
            <v>T</v>
          </cell>
          <cell r="AL96">
            <v>0</v>
          </cell>
          <cell r="AM96">
            <v>0</v>
          </cell>
          <cell r="AN96" t="str">
            <v>T</v>
          </cell>
          <cell r="AO96">
            <v>0</v>
          </cell>
          <cell r="AP96">
            <v>0</v>
          </cell>
          <cell r="AQ96" t="str">
            <v>T</v>
          </cell>
          <cell r="AR96">
            <v>0</v>
          </cell>
          <cell r="AS96">
            <v>0</v>
          </cell>
          <cell r="AT96" t="str">
            <v>T</v>
          </cell>
          <cell r="AU96">
            <v>0</v>
          </cell>
          <cell r="AV96">
            <v>0</v>
          </cell>
          <cell r="AW96" t="str">
            <v>T</v>
          </cell>
          <cell r="AX96">
            <v>0</v>
          </cell>
          <cell r="AY96">
            <v>0</v>
          </cell>
          <cell r="AZ96" t="str">
            <v>T</v>
          </cell>
          <cell r="BA96">
            <v>0</v>
          </cell>
          <cell r="BB96">
            <v>0</v>
          </cell>
          <cell r="BC96" t="str">
            <v>T</v>
          </cell>
          <cell r="BD96">
            <v>0</v>
          </cell>
          <cell r="BE96">
            <v>0</v>
          </cell>
          <cell r="BF96" t="str">
            <v>T</v>
          </cell>
          <cell r="BG96">
            <v>0</v>
          </cell>
          <cell r="BH96">
            <v>0</v>
          </cell>
          <cell r="BI96" t="str">
            <v>T</v>
          </cell>
          <cell r="BJ96">
            <v>0</v>
          </cell>
          <cell r="BK96">
            <v>0</v>
          </cell>
          <cell r="BL96" t="str">
            <v>T</v>
          </cell>
          <cell r="BM96">
            <v>0</v>
          </cell>
          <cell r="BN96">
            <v>0</v>
          </cell>
          <cell r="BO96" t="str">
            <v>T</v>
          </cell>
          <cell r="BP96">
            <v>0</v>
          </cell>
          <cell r="BQ96">
            <v>0</v>
          </cell>
          <cell r="BR96" t="str">
            <v>T</v>
          </cell>
          <cell r="BS96">
            <v>0</v>
          </cell>
          <cell r="BT96">
            <v>0</v>
          </cell>
          <cell r="BU96" t="str">
            <v>T</v>
          </cell>
          <cell r="BV96">
            <v>0</v>
          </cell>
          <cell r="BW96">
            <v>0</v>
          </cell>
          <cell r="BX96" t="str">
            <v>T</v>
          </cell>
          <cell r="BY96">
            <v>0</v>
          </cell>
          <cell r="BZ96">
            <v>0</v>
          </cell>
          <cell r="CA96" t="str">
            <v>T</v>
          </cell>
          <cell r="CB96">
            <v>0</v>
          </cell>
          <cell r="CC96">
            <v>0</v>
          </cell>
          <cell r="CD96" t="str">
            <v>T</v>
          </cell>
          <cell r="CE96">
            <v>0</v>
          </cell>
          <cell r="CF96">
            <v>0</v>
          </cell>
          <cell r="CG96" t="str">
            <v>T</v>
          </cell>
          <cell r="CH96">
            <v>0</v>
          </cell>
          <cell r="CI96">
            <v>0</v>
          </cell>
          <cell r="CJ96" t="str">
            <v>T</v>
          </cell>
          <cell r="CK96">
            <v>0</v>
          </cell>
          <cell r="CL96">
            <v>0</v>
          </cell>
          <cell r="CM96" t="str">
            <v>T</v>
          </cell>
          <cell r="CN96">
            <v>0</v>
          </cell>
          <cell r="CO96">
            <v>0</v>
          </cell>
          <cell r="CP96" t="str">
            <v>P</v>
          </cell>
          <cell r="CQ96">
            <v>0</v>
          </cell>
          <cell r="CR96">
            <v>2</v>
          </cell>
          <cell r="CS96" t="str">
            <v>T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1</v>
          </cell>
          <cell r="DG96">
            <v>0</v>
          </cell>
          <cell r="DH96">
            <v>2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1</v>
          </cell>
          <cell r="DN96">
            <v>28</v>
          </cell>
          <cell r="DO96">
            <v>27</v>
          </cell>
          <cell r="DP96">
            <v>0</v>
          </cell>
          <cell r="DQ96">
            <v>0</v>
          </cell>
          <cell r="DR96">
            <v>200</v>
          </cell>
        </row>
        <row r="97">
          <cell r="D97" t="str">
            <v>CFCP0829</v>
          </cell>
          <cell r="E97" t="str">
            <v>Active</v>
          </cell>
          <cell r="F97" t="str">
            <v>Direct</v>
          </cell>
          <cell r="G97" t="str">
            <v>Ramji Nankau</v>
          </cell>
          <cell r="H97" t="str">
            <v>Direct Labour Wage</v>
          </cell>
          <cell r="I97" t="str">
            <v>EC2521450706-01E</v>
          </cell>
          <cell r="J97" t="str">
            <v>Core Factory</v>
          </cell>
          <cell r="K97" t="str">
            <v>Core</v>
          </cell>
          <cell r="L97" t="str">
            <v>Core Winding</v>
          </cell>
          <cell r="M97" t="str">
            <v>Operator</v>
          </cell>
          <cell r="N97">
            <v>45516</v>
          </cell>
          <cell r="O97">
            <v>1.5643835616438355</v>
          </cell>
          <cell r="P97" t="str">
            <v>S</v>
          </cell>
          <cell r="Q97">
            <v>0</v>
          </cell>
          <cell r="R97">
            <v>5</v>
          </cell>
          <cell r="S97" t="str">
            <v>P</v>
          </cell>
          <cell r="T97">
            <v>0</v>
          </cell>
          <cell r="U97">
            <v>3</v>
          </cell>
          <cell r="V97" t="str">
            <v>P</v>
          </cell>
          <cell r="W97">
            <v>0</v>
          </cell>
          <cell r="X97">
            <v>3</v>
          </cell>
          <cell r="Y97" t="str">
            <v>P</v>
          </cell>
          <cell r="Z97">
            <v>0</v>
          </cell>
          <cell r="AA97">
            <v>3</v>
          </cell>
          <cell r="AB97" t="str">
            <v>P</v>
          </cell>
          <cell r="AC97">
            <v>0</v>
          </cell>
          <cell r="AD97">
            <v>3</v>
          </cell>
          <cell r="AE97" t="str">
            <v>P</v>
          </cell>
          <cell r="AF97">
            <v>0</v>
          </cell>
          <cell r="AG97">
            <v>3</v>
          </cell>
          <cell r="AH97" t="str">
            <v>P</v>
          </cell>
          <cell r="AI97">
            <v>0</v>
          </cell>
          <cell r="AJ97">
            <v>2</v>
          </cell>
          <cell r="AK97" t="str">
            <v>S</v>
          </cell>
          <cell r="AL97">
            <v>0</v>
          </cell>
          <cell r="AM97">
            <v>4.5</v>
          </cell>
          <cell r="AN97" t="str">
            <v>P</v>
          </cell>
          <cell r="AO97">
            <v>0</v>
          </cell>
          <cell r="AP97">
            <v>2.5</v>
          </cell>
          <cell r="AQ97" t="str">
            <v>P</v>
          </cell>
          <cell r="AR97">
            <v>0</v>
          </cell>
          <cell r="AS97">
            <v>3</v>
          </cell>
          <cell r="AT97" t="str">
            <v>P</v>
          </cell>
          <cell r="AU97">
            <v>0</v>
          </cell>
          <cell r="AV97">
            <v>3</v>
          </cell>
          <cell r="AW97" t="str">
            <v>P</v>
          </cell>
          <cell r="AX97">
            <v>0</v>
          </cell>
          <cell r="AY97">
            <v>3</v>
          </cell>
          <cell r="AZ97" t="str">
            <v>P</v>
          </cell>
          <cell r="BA97">
            <v>0</v>
          </cell>
          <cell r="BB97">
            <v>2.5</v>
          </cell>
          <cell r="BC97" t="str">
            <v>P</v>
          </cell>
          <cell r="BD97">
            <v>0</v>
          </cell>
          <cell r="BE97">
            <v>3</v>
          </cell>
          <cell r="BF97" t="str">
            <v>S</v>
          </cell>
          <cell r="BG97">
            <v>0</v>
          </cell>
          <cell r="BH97">
            <v>4</v>
          </cell>
          <cell r="BI97" t="str">
            <v>P</v>
          </cell>
          <cell r="BJ97">
            <v>0</v>
          </cell>
          <cell r="BK97">
            <v>3</v>
          </cell>
          <cell r="BL97" t="str">
            <v>P</v>
          </cell>
          <cell r="BM97">
            <v>0</v>
          </cell>
          <cell r="BN97">
            <v>3</v>
          </cell>
          <cell r="BO97" t="str">
            <v>P</v>
          </cell>
          <cell r="BP97">
            <v>0</v>
          </cell>
          <cell r="BQ97">
            <v>3</v>
          </cell>
          <cell r="BR97" t="str">
            <v>P</v>
          </cell>
          <cell r="BS97">
            <v>0</v>
          </cell>
          <cell r="BT97">
            <v>3</v>
          </cell>
          <cell r="BU97" t="str">
            <v>P</v>
          </cell>
          <cell r="BV97">
            <v>0</v>
          </cell>
          <cell r="BW97">
            <v>3</v>
          </cell>
          <cell r="BX97" t="str">
            <v>P</v>
          </cell>
          <cell r="BY97">
            <v>0</v>
          </cell>
          <cell r="BZ97">
            <v>3</v>
          </cell>
          <cell r="CA97" t="str">
            <v>S</v>
          </cell>
          <cell r="CB97">
            <v>0</v>
          </cell>
          <cell r="CC97">
            <v>5</v>
          </cell>
          <cell r="CD97" t="str">
            <v>P</v>
          </cell>
          <cell r="CE97">
            <v>0</v>
          </cell>
          <cell r="CF97">
            <v>3</v>
          </cell>
          <cell r="CG97" t="str">
            <v>P</v>
          </cell>
          <cell r="CH97">
            <v>0</v>
          </cell>
          <cell r="CI97">
            <v>3.5</v>
          </cell>
          <cell r="CJ97" t="str">
            <v>P</v>
          </cell>
          <cell r="CK97">
            <v>0</v>
          </cell>
          <cell r="CL97">
            <v>3</v>
          </cell>
          <cell r="CM97" t="str">
            <v>P</v>
          </cell>
          <cell r="CN97">
            <v>0</v>
          </cell>
          <cell r="CO97">
            <v>3</v>
          </cell>
          <cell r="CP97" t="str">
            <v>P</v>
          </cell>
          <cell r="CQ97">
            <v>0</v>
          </cell>
          <cell r="CR97">
            <v>3</v>
          </cell>
          <cell r="CS97" t="str">
            <v>P</v>
          </cell>
          <cell r="CT97">
            <v>0</v>
          </cell>
          <cell r="CU97">
            <v>3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24</v>
          </cell>
          <cell r="DG97">
            <v>0</v>
          </cell>
          <cell r="DH97">
            <v>89</v>
          </cell>
          <cell r="DI97">
            <v>0</v>
          </cell>
          <cell r="DJ97">
            <v>0</v>
          </cell>
          <cell r="DK97">
            <v>0</v>
          </cell>
          <cell r="DL97">
            <v>4</v>
          </cell>
          <cell r="DM97">
            <v>24</v>
          </cell>
          <cell r="DN97">
            <v>28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</row>
        <row r="98">
          <cell r="D98" t="str">
            <v>CFCP0115</v>
          </cell>
          <cell r="E98" t="str">
            <v>In Active</v>
          </cell>
          <cell r="F98" t="str">
            <v>In Direct</v>
          </cell>
          <cell r="G98" t="str">
            <v>Kamal Kishor Rajaram</v>
          </cell>
          <cell r="H98" t="str">
            <v>InDirect Labour Wage</v>
          </cell>
          <cell r="I98" t="str">
            <v>EC2414422724-01E</v>
          </cell>
          <cell r="J98" t="str">
            <v>Core Factory</v>
          </cell>
          <cell r="K98" t="str">
            <v>Coil Bracket</v>
          </cell>
          <cell r="L98" t="str">
            <v>Coil Bracket</v>
          </cell>
          <cell r="M98" t="str">
            <v>Welder</v>
          </cell>
          <cell r="N98">
            <v>42583</v>
          </cell>
          <cell r="O98">
            <v>9.6</v>
          </cell>
          <cell r="P98" t="str">
            <v>S</v>
          </cell>
          <cell r="Q98">
            <v>0</v>
          </cell>
          <cell r="R98">
            <v>0</v>
          </cell>
          <cell r="S98" t="str">
            <v>T</v>
          </cell>
          <cell r="T98">
            <v>0</v>
          </cell>
          <cell r="U98">
            <v>0</v>
          </cell>
          <cell r="V98" t="str">
            <v>T</v>
          </cell>
          <cell r="W98">
            <v>0</v>
          </cell>
          <cell r="X98">
            <v>0</v>
          </cell>
          <cell r="Y98" t="str">
            <v>T</v>
          </cell>
          <cell r="Z98">
            <v>0</v>
          </cell>
          <cell r="AA98">
            <v>0</v>
          </cell>
          <cell r="AB98" t="str">
            <v>P</v>
          </cell>
          <cell r="AC98">
            <v>0</v>
          </cell>
          <cell r="AD98">
            <v>1</v>
          </cell>
          <cell r="AE98" t="str">
            <v>T</v>
          </cell>
          <cell r="AF98">
            <v>0</v>
          </cell>
          <cell r="AG98">
            <v>0</v>
          </cell>
          <cell r="AH98" t="str">
            <v>T</v>
          </cell>
          <cell r="AI98">
            <v>0</v>
          </cell>
          <cell r="AJ98">
            <v>0</v>
          </cell>
          <cell r="AK98" t="str">
            <v>S</v>
          </cell>
          <cell r="AL98">
            <v>0</v>
          </cell>
          <cell r="AM98">
            <v>0</v>
          </cell>
          <cell r="AN98" t="str">
            <v>P</v>
          </cell>
          <cell r="AO98">
            <v>0</v>
          </cell>
          <cell r="AP98">
            <v>0</v>
          </cell>
          <cell r="AQ98" t="str">
            <v>T</v>
          </cell>
          <cell r="AR98">
            <v>0</v>
          </cell>
          <cell r="AS98">
            <v>0</v>
          </cell>
          <cell r="AT98" t="str">
            <v>T</v>
          </cell>
          <cell r="AU98">
            <v>0</v>
          </cell>
          <cell r="AV98">
            <v>0</v>
          </cell>
          <cell r="AW98" t="str">
            <v>P</v>
          </cell>
          <cell r="AX98">
            <v>0</v>
          </cell>
          <cell r="AY98">
            <v>0</v>
          </cell>
          <cell r="AZ98" t="str">
            <v>T</v>
          </cell>
          <cell r="BA98">
            <v>0</v>
          </cell>
          <cell r="BB98">
            <v>0</v>
          </cell>
          <cell r="BC98" t="str">
            <v>T</v>
          </cell>
          <cell r="BD98">
            <v>0</v>
          </cell>
          <cell r="BE98">
            <v>0</v>
          </cell>
          <cell r="BF98" t="str">
            <v>S</v>
          </cell>
          <cell r="BG98">
            <v>0</v>
          </cell>
          <cell r="BH98">
            <v>0</v>
          </cell>
          <cell r="BI98" t="str">
            <v>P</v>
          </cell>
          <cell r="BJ98">
            <v>0</v>
          </cell>
          <cell r="BK98">
            <v>0</v>
          </cell>
          <cell r="BL98" t="str">
            <v>T</v>
          </cell>
          <cell r="BM98">
            <v>0</v>
          </cell>
          <cell r="BN98">
            <v>0</v>
          </cell>
          <cell r="BO98" t="str">
            <v>T</v>
          </cell>
          <cell r="BP98">
            <v>0</v>
          </cell>
          <cell r="BQ98">
            <v>0</v>
          </cell>
          <cell r="BR98" t="str">
            <v>P</v>
          </cell>
          <cell r="BS98">
            <v>0</v>
          </cell>
          <cell r="BT98">
            <v>0</v>
          </cell>
          <cell r="BU98" t="str">
            <v>T</v>
          </cell>
          <cell r="BV98">
            <v>0</v>
          </cell>
          <cell r="BW98">
            <v>0</v>
          </cell>
          <cell r="BX98" t="str">
            <v>T</v>
          </cell>
          <cell r="BY98">
            <v>0</v>
          </cell>
          <cell r="BZ98">
            <v>0</v>
          </cell>
          <cell r="CA98" t="str">
            <v>S</v>
          </cell>
          <cell r="CB98">
            <v>0</v>
          </cell>
          <cell r="CC98">
            <v>0</v>
          </cell>
          <cell r="CD98" t="str">
            <v>T</v>
          </cell>
          <cell r="CE98">
            <v>0</v>
          </cell>
          <cell r="CF98">
            <v>0</v>
          </cell>
          <cell r="CG98" t="str">
            <v>T</v>
          </cell>
          <cell r="CH98">
            <v>0</v>
          </cell>
          <cell r="CI98">
            <v>0</v>
          </cell>
          <cell r="CJ98" t="str">
            <v>T</v>
          </cell>
          <cell r="CK98">
            <v>0</v>
          </cell>
          <cell r="CL98">
            <v>0</v>
          </cell>
          <cell r="CM98" t="str">
            <v>T</v>
          </cell>
          <cell r="CN98">
            <v>0</v>
          </cell>
          <cell r="CO98">
            <v>0</v>
          </cell>
          <cell r="CP98" t="str">
            <v>T</v>
          </cell>
          <cell r="CQ98">
            <v>0</v>
          </cell>
          <cell r="CR98">
            <v>0</v>
          </cell>
          <cell r="CS98" t="str">
            <v>P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6</v>
          </cell>
          <cell r="DG98">
            <v>0</v>
          </cell>
          <cell r="DH98">
            <v>1</v>
          </cell>
          <cell r="DI98">
            <v>0</v>
          </cell>
          <cell r="DJ98">
            <v>0</v>
          </cell>
          <cell r="DK98">
            <v>0</v>
          </cell>
          <cell r="DL98">
            <v>4</v>
          </cell>
          <cell r="DM98">
            <v>6</v>
          </cell>
          <cell r="DN98">
            <v>28</v>
          </cell>
          <cell r="DO98">
            <v>18</v>
          </cell>
          <cell r="DP98">
            <v>6</v>
          </cell>
          <cell r="DQ98">
            <v>350</v>
          </cell>
          <cell r="DR98">
            <v>0</v>
          </cell>
        </row>
        <row r="99">
          <cell r="D99" t="str">
            <v>CFCP0114</v>
          </cell>
          <cell r="E99" t="str">
            <v>Active</v>
          </cell>
          <cell r="F99" t="str">
            <v>Direct</v>
          </cell>
          <cell r="G99" t="str">
            <v>Vishram Kallu Prasad</v>
          </cell>
          <cell r="H99" t="str">
            <v>Direct Labour Wage</v>
          </cell>
          <cell r="I99" t="str">
            <v>EC2414422906-01E</v>
          </cell>
          <cell r="J99" t="str">
            <v>Core Factory</v>
          </cell>
          <cell r="K99" t="str">
            <v>Core</v>
          </cell>
          <cell r="L99" t="str">
            <v>Core Winding</v>
          </cell>
          <cell r="M99" t="str">
            <v>Operator</v>
          </cell>
          <cell r="N99">
            <v>42114</v>
          </cell>
          <cell r="O99">
            <v>10.884931506849314</v>
          </cell>
          <cell r="P99" t="str">
            <v>T</v>
          </cell>
          <cell r="Q99">
            <v>0</v>
          </cell>
          <cell r="R99">
            <v>0</v>
          </cell>
          <cell r="S99" t="str">
            <v>T</v>
          </cell>
          <cell r="T99">
            <v>0</v>
          </cell>
          <cell r="U99">
            <v>0</v>
          </cell>
          <cell r="V99" t="str">
            <v>T</v>
          </cell>
          <cell r="W99">
            <v>0</v>
          </cell>
          <cell r="X99">
            <v>0</v>
          </cell>
          <cell r="Y99" t="str">
            <v>T</v>
          </cell>
          <cell r="Z99">
            <v>0</v>
          </cell>
          <cell r="AA99">
            <v>0</v>
          </cell>
          <cell r="AB99" t="str">
            <v>T</v>
          </cell>
          <cell r="AC99">
            <v>0</v>
          </cell>
          <cell r="AD99">
            <v>0</v>
          </cell>
          <cell r="AE99" t="str">
            <v>T</v>
          </cell>
          <cell r="AF99">
            <v>0</v>
          </cell>
          <cell r="AG99">
            <v>0</v>
          </cell>
          <cell r="AH99" t="str">
            <v>T</v>
          </cell>
          <cell r="AI99">
            <v>0</v>
          </cell>
          <cell r="AJ99">
            <v>0</v>
          </cell>
          <cell r="AK99" t="str">
            <v>T</v>
          </cell>
          <cell r="AL99">
            <v>0</v>
          </cell>
          <cell r="AM99">
            <v>0</v>
          </cell>
          <cell r="AN99" t="str">
            <v>T</v>
          </cell>
          <cell r="AO99">
            <v>0</v>
          </cell>
          <cell r="AP99">
            <v>0</v>
          </cell>
          <cell r="AQ99" t="str">
            <v>T</v>
          </cell>
          <cell r="AR99">
            <v>0</v>
          </cell>
          <cell r="AS99">
            <v>0</v>
          </cell>
          <cell r="AT99" t="str">
            <v>A</v>
          </cell>
          <cell r="AU99">
            <v>0</v>
          </cell>
          <cell r="AV99">
            <v>0</v>
          </cell>
          <cell r="AW99" t="str">
            <v>A</v>
          </cell>
          <cell r="AX99">
            <v>0</v>
          </cell>
          <cell r="AY99">
            <v>0</v>
          </cell>
          <cell r="AZ99" t="str">
            <v>A</v>
          </cell>
          <cell r="BA99">
            <v>0</v>
          </cell>
          <cell r="BB99">
            <v>0</v>
          </cell>
          <cell r="BC99" t="str">
            <v>A</v>
          </cell>
          <cell r="BD99">
            <v>0</v>
          </cell>
          <cell r="BE99">
            <v>0</v>
          </cell>
          <cell r="BF99" t="str">
            <v>A</v>
          </cell>
          <cell r="BG99">
            <v>0</v>
          </cell>
          <cell r="BH99">
            <v>0</v>
          </cell>
          <cell r="BI99" t="str">
            <v>A</v>
          </cell>
          <cell r="BJ99">
            <v>0</v>
          </cell>
          <cell r="BK99">
            <v>0</v>
          </cell>
          <cell r="BL99" t="str">
            <v>A</v>
          </cell>
          <cell r="BM99">
            <v>0</v>
          </cell>
          <cell r="BN99">
            <v>0</v>
          </cell>
          <cell r="BO99" t="str">
            <v>A</v>
          </cell>
          <cell r="BP99">
            <v>0</v>
          </cell>
          <cell r="BQ99">
            <v>0</v>
          </cell>
          <cell r="BR99" t="str">
            <v>A</v>
          </cell>
          <cell r="BS99">
            <v>0</v>
          </cell>
          <cell r="BT99">
            <v>0</v>
          </cell>
          <cell r="BU99" t="str">
            <v>A</v>
          </cell>
          <cell r="BV99">
            <v>0</v>
          </cell>
          <cell r="BW99">
            <v>0</v>
          </cell>
          <cell r="BX99" t="str">
            <v>A</v>
          </cell>
          <cell r="BY99">
            <v>0</v>
          </cell>
          <cell r="BZ99">
            <v>0</v>
          </cell>
          <cell r="CA99" t="str">
            <v>A</v>
          </cell>
          <cell r="CB99">
            <v>0</v>
          </cell>
          <cell r="CC99">
            <v>0</v>
          </cell>
          <cell r="CD99" t="str">
            <v>A</v>
          </cell>
          <cell r="CE99">
            <v>0</v>
          </cell>
          <cell r="CF99">
            <v>0</v>
          </cell>
          <cell r="CG99" t="str">
            <v>A</v>
          </cell>
          <cell r="CH99">
            <v>0</v>
          </cell>
          <cell r="CI99">
            <v>0</v>
          </cell>
          <cell r="CJ99" t="str">
            <v>A</v>
          </cell>
          <cell r="CK99">
            <v>0</v>
          </cell>
          <cell r="CL99">
            <v>0</v>
          </cell>
          <cell r="CM99" t="str">
            <v>A</v>
          </cell>
          <cell r="CN99">
            <v>0</v>
          </cell>
          <cell r="CO99">
            <v>0</v>
          </cell>
          <cell r="CP99" t="str">
            <v>A</v>
          </cell>
          <cell r="CQ99">
            <v>0</v>
          </cell>
          <cell r="CR99">
            <v>0</v>
          </cell>
          <cell r="CS99" t="str">
            <v>A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18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28</v>
          </cell>
          <cell r="DO99">
            <v>10</v>
          </cell>
          <cell r="DP99">
            <v>0</v>
          </cell>
          <cell r="DQ99">
            <v>0</v>
          </cell>
          <cell r="DR99">
            <v>0</v>
          </cell>
        </row>
        <row r="100">
          <cell r="D100" t="str">
            <v>CFCP0729</v>
          </cell>
          <cell r="E100" t="str">
            <v>Active</v>
          </cell>
          <cell r="F100" t="str">
            <v>Direct</v>
          </cell>
          <cell r="G100" t="str">
            <v>Ritesh Deshraj</v>
          </cell>
          <cell r="H100" t="str">
            <v>Direct Labour Wage</v>
          </cell>
          <cell r="I100">
            <v>0</v>
          </cell>
          <cell r="J100" t="str">
            <v>Core Factory</v>
          </cell>
          <cell r="K100" t="str">
            <v>Mu-Metal</v>
          </cell>
          <cell r="L100" t="str">
            <v>Bobin Maker</v>
          </cell>
          <cell r="M100" t="str">
            <v>Helper</v>
          </cell>
          <cell r="N100">
            <v>45250</v>
          </cell>
          <cell r="O100">
            <v>2.2931506849315069</v>
          </cell>
          <cell r="P100" t="str">
            <v>S</v>
          </cell>
          <cell r="Q100">
            <v>0</v>
          </cell>
          <cell r="R100">
            <v>5.5</v>
          </cell>
          <cell r="S100" t="str">
            <v>P</v>
          </cell>
          <cell r="T100">
            <v>0</v>
          </cell>
          <cell r="U100">
            <v>0</v>
          </cell>
          <cell r="V100" t="str">
            <v>P</v>
          </cell>
          <cell r="W100">
            <v>0</v>
          </cell>
          <cell r="X100">
            <v>0</v>
          </cell>
          <cell r="Y100" t="str">
            <v>P</v>
          </cell>
          <cell r="Z100">
            <v>0</v>
          </cell>
          <cell r="AA100">
            <v>0</v>
          </cell>
          <cell r="AB100" t="str">
            <v>P</v>
          </cell>
          <cell r="AC100">
            <v>0</v>
          </cell>
          <cell r="AD100">
            <v>0</v>
          </cell>
          <cell r="AE100" t="str">
            <v>P</v>
          </cell>
          <cell r="AF100">
            <v>0</v>
          </cell>
          <cell r="AG100">
            <v>0</v>
          </cell>
          <cell r="AH100" t="str">
            <v>P</v>
          </cell>
          <cell r="AI100">
            <v>0</v>
          </cell>
          <cell r="AJ100">
            <v>0</v>
          </cell>
          <cell r="AK100" t="str">
            <v>S</v>
          </cell>
          <cell r="AL100">
            <v>0</v>
          </cell>
          <cell r="AM100">
            <v>0</v>
          </cell>
          <cell r="AN100" t="str">
            <v>P</v>
          </cell>
          <cell r="AO100">
            <v>0</v>
          </cell>
          <cell r="AP100">
            <v>0</v>
          </cell>
          <cell r="AQ100" t="str">
            <v>A</v>
          </cell>
          <cell r="AR100">
            <v>0</v>
          </cell>
          <cell r="AS100">
            <v>0</v>
          </cell>
          <cell r="AT100" t="str">
            <v>A</v>
          </cell>
          <cell r="AU100">
            <v>0</v>
          </cell>
          <cell r="AV100">
            <v>0</v>
          </cell>
          <cell r="AW100" t="str">
            <v>A</v>
          </cell>
          <cell r="AX100">
            <v>0</v>
          </cell>
          <cell r="AY100">
            <v>0</v>
          </cell>
          <cell r="AZ100" t="str">
            <v>A</v>
          </cell>
          <cell r="BA100">
            <v>0</v>
          </cell>
          <cell r="BB100">
            <v>0</v>
          </cell>
          <cell r="BC100" t="str">
            <v>A</v>
          </cell>
          <cell r="BD100">
            <v>0</v>
          </cell>
          <cell r="BE100">
            <v>0</v>
          </cell>
          <cell r="BF100" t="str">
            <v>A</v>
          </cell>
          <cell r="BG100">
            <v>0</v>
          </cell>
          <cell r="BH100">
            <v>0</v>
          </cell>
          <cell r="BI100" t="str">
            <v>A</v>
          </cell>
          <cell r="BJ100">
            <v>0</v>
          </cell>
          <cell r="BK100">
            <v>0</v>
          </cell>
          <cell r="BL100" t="str">
            <v>A</v>
          </cell>
          <cell r="BM100">
            <v>0</v>
          </cell>
          <cell r="BN100">
            <v>0</v>
          </cell>
          <cell r="BO100" t="str">
            <v>A</v>
          </cell>
          <cell r="BP100">
            <v>0</v>
          </cell>
          <cell r="BQ100">
            <v>0</v>
          </cell>
          <cell r="BR100" t="str">
            <v>A</v>
          </cell>
          <cell r="BS100">
            <v>0</v>
          </cell>
          <cell r="BT100">
            <v>0</v>
          </cell>
          <cell r="BU100" t="str">
            <v>A</v>
          </cell>
          <cell r="BV100">
            <v>0</v>
          </cell>
          <cell r="BW100">
            <v>0</v>
          </cell>
          <cell r="BX100" t="str">
            <v>A</v>
          </cell>
          <cell r="BY100">
            <v>0</v>
          </cell>
          <cell r="BZ100">
            <v>0</v>
          </cell>
          <cell r="CA100" t="str">
            <v>A</v>
          </cell>
          <cell r="CB100">
            <v>0</v>
          </cell>
          <cell r="CC100">
            <v>0</v>
          </cell>
          <cell r="CD100" t="str">
            <v>A</v>
          </cell>
          <cell r="CE100">
            <v>0</v>
          </cell>
          <cell r="CF100">
            <v>0</v>
          </cell>
          <cell r="CG100" t="str">
            <v>A</v>
          </cell>
          <cell r="CH100">
            <v>0</v>
          </cell>
          <cell r="CI100">
            <v>0</v>
          </cell>
          <cell r="CJ100" t="str">
            <v>A</v>
          </cell>
          <cell r="CK100">
            <v>0</v>
          </cell>
          <cell r="CL100">
            <v>0</v>
          </cell>
          <cell r="CM100" t="str">
            <v>A</v>
          </cell>
          <cell r="CN100">
            <v>0</v>
          </cell>
          <cell r="CO100">
            <v>0</v>
          </cell>
          <cell r="CP100" t="str">
            <v>A</v>
          </cell>
          <cell r="CQ100">
            <v>0</v>
          </cell>
          <cell r="CR100">
            <v>0</v>
          </cell>
          <cell r="CS100" t="str">
            <v>A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7</v>
          </cell>
          <cell r="DG100">
            <v>0</v>
          </cell>
          <cell r="DH100">
            <v>5.5</v>
          </cell>
          <cell r="DI100">
            <v>19</v>
          </cell>
          <cell r="DJ100">
            <v>0</v>
          </cell>
          <cell r="DK100">
            <v>0</v>
          </cell>
          <cell r="DL100">
            <v>2</v>
          </cell>
          <cell r="DM100">
            <v>7</v>
          </cell>
          <cell r="DN100">
            <v>28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</row>
        <row r="101">
          <cell r="D101" t="str">
            <v>CFCP0602</v>
          </cell>
          <cell r="E101" t="str">
            <v>Active</v>
          </cell>
          <cell r="F101" t="str">
            <v>Direct</v>
          </cell>
          <cell r="G101" t="str">
            <v>HEMRAJ ASHRAM</v>
          </cell>
          <cell r="H101" t="str">
            <v>Direct Labour Wage</v>
          </cell>
          <cell r="I101">
            <v>0</v>
          </cell>
          <cell r="J101" t="str">
            <v>Core Factory</v>
          </cell>
          <cell r="K101" t="str">
            <v>Core</v>
          </cell>
          <cell r="L101" t="str">
            <v>Core Winding</v>
          </cell>
          <cell r="M101" t="str">
            <v>Operator</v>
          </cell>
          <cell r="N101">
            <v>44760</v>
          </cell>
          <cell r="O101">
            <v>3.6356164383561644</v>
          </cell>
          <cell r="P101" t="str">
            <v>S</v>
          </cell>
          <cell r="Q101">
            <v>0</v>
          </cell>
          <cell r="R101">
            <v>5</v>
          </cell>
          <cell r="S101" t="str">
            <v>P</v>
          </cell>
          <cell r="T101">
            <v>0</v>
          </cell>
          <cell r="U101">
            <v>2</v>
          </cell>
          <cell r="V101" t="str">
            <v>P</v>
          </cell>
          <cell r="W101">
            <v>0</v>
          </cell>
          <cell r="X101">
            <v>2</v>
          </cell>
          <cell r="Y101" t="str">
            <v>T</v>
          </cell>
          <cell r="Z101">
            <v>0</v>
          </cell>
          <cell r="AA101">
            <v>0</v>
          </cell>
          <cell r="AB101" t="str">
            <v>T</v>
          </cell>
          <cell r="AC101">
            <v>0</v>
          </cell>
          <cell r="AD101">
            <v>0</v>
          </cell>
          <cell r="AE101" t="str">
            <v>T</v>
          </cell>
          <cell r="AF101">
            <v>0</v>
          </cell>
          <cell r="AG101">
            <v>0</v>
          </cell>
          <cell r="AH101" t="str">
            <v>T</v>
          </cell>
          <cell r="AI101">
            <v>0</v>
          </cell>
          <cell r="AJ101">
            <v>0</v>
          </cell>
          <cell r="AK101" t="str">
            <v>S</v>
          </cell>
          <cell r="AL101">
            <v>0</v>
          </cell>
          <cell r="AM101">
            <v>4.5</v>
          </cell>
          <cell r="AN101" t="str">
            <v>T</v>
          </cell>
          <cell r="AO101">
            <v>0</v>
          </cell>
          <cell r="AP101">
            <v>0</v>
          </cell>
          <cell r="AQ101" t="str">
            <v>A</v>
          </cell>
          <cell r="AR101">
            <v>0</v>
          </cell>
          <cell r="AS101">
            <v>0</v>
          </cell>
          <cell r="AT101" t="str">
            <v>A</v>
          </cell>
          <cell r="AU101">
            <v>0</v>
          </cell>
          <cell r="AV101">
            <v>0</v>
          </cell>
          <cell r="AW101" t="str">
            <v>A</v>
          </cell>
          <cell r="AX101">
            <v>0</v>
          </cell>
          <cell r="AY101">
            <v>0</v>
          </cell>
          <cell r="AZ101" t="str">
            <v>A</v>
          </cell>
          <cell r="BA101">
            <v>0</v>
          </cell>
          <cell r="BB101">
            <v>0</v>
          </cell>
          <cell r="BC101" t="str">
            <v>A</v>
          </cell>
          <cell r="BD101">
            <v>0</v>
          </cell>
          <cell r="BE101">
            <v>0</v>
          </cell>
          <cell r="BF101" t="str">
            <v>A</v>
          </cell>
          <cell r="BG101">
            <v>0</v>
          </cell>
          <cell r="BH101">
            <v>0</v>
          </cell>
          <cell r="BI101" t="str">
            <v>A</v>
          </cell>
          <cell r="BJ101">
            <v>0</v>
          </cell>
          <cell r="BK101">
            <v>0</v>
          </cell>
          <cell r="BL101" t="str">
            <v>A</v>
          </cell>
          <cell r="BM101">
            <v>0</v>
          </cell>
          <cell r="BN101">
            <v>0</v>
          </cell>
          <cell r="BO101" t="str">
            <v>A</v>
          </cell>
          <cell r="BP101">
            <v>0</v>
          </cell>
          <cell r="BQ101">
            <v>0</v>
          </cell>
          <cell r="BR101" t="str">
            <v>A</v>
          </cell>
          <cell r="BS101">
            <v>0</v>
          </cell>
          <cell r="BT101">
            <v>0</v>
          </cell>
          <cell r="BU101" t="str">
            <v>A</v>
          </cell>
          <cell r="BV101">
            <v>0</v>
          </cell>
          <cell r="BW101">
            <v>0</v>
          </cell>
          <cell r="BX101" t="str">
            <v>A</v>
          </cell>
          <cell r="BY101">
            <v>0</v>
          </cell>
          <cell r="BZ101">
            <v>0</v>
          </cell>
          <cell r="CA101" t="str">
            <v>A</v>
          </cell>
          <cell r="CB101">
            <v>0</v>
          </cell>
          <cell r="CC101">
            <v>0</v>
          </cell>
          <cell r="CD101" t="str">
            <v>A</v>
          </cell>
          <cell r="CE101">
            <v>0</v>
          </cell>
          <cell r="CF101">
            <v>0</v>
          </cell>
          <cell r="CG101" t="str">
            <v>A</v>
          </cell>
          <cell r="CH101">
            <v>0</v>
          </cell>
          <cell r="CI101">
            <v>0</v>
          </cell>
          <cell r="CJ101" t="str">
            <v>A</v>
          </cell>
          <cell r="CK101">
            <v>0</v>
          </cell>
          <cell r="CL101">
            <v>0</v>
          </cell>
          <cell r="CM101" t="str">
            <v>A</v>
          </cell>
          <cell r="CN101">
            <v>0</v>
          </cell>
          <cell r="CO101">
            <v>0</v>
          </cell>
          <cell r="CP101" t="str">
            <v>A</v>
          </cell>
          <cell r="CQ101">
            <v>0</v>
          </cell>
          <cell r="CR101">
            <v>0</v>
          </cell>
          <cell r="CS101" t="str">
            <v>A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2</v>
          </cell>
          <cell r="DG101">
            <v>0</v>
          </cell>
          <cell r="DH101">
            <v>13.5</v>
          </cell>
          <cell r="DI101">
            <v>19</v>
          </cell>
          <cell r="DJ101">
            <v>0</v>
          </cell>
          <cell r="DK101">
            <v>0</v>
          </cell>
          <cell r="DL101">
            <v>2</v>
          </cell>
          <cell r="DM101">
            <v>2</v>
          </cell>
          <cell r="DN101">
            <v>28</v>
          </cell>
          <cell r="DO101">
            <v>5</v>
          </cell>
          <cell r="DP101">
            <v>0</v>
          </cell>
          <cell r="DQ101">
            <v>0</v>
          </cell>
          <cell r="DR101">
            <v>0</v>
          </cell>
        </row>
        <row r="102">
          <cell r="D102" t="str">
            <v>CFCP0005</v>
          </cell>
          <cell r="E102" t="str">
            <v>Active</v>
          </cell>
          <cell r="F102" t="str">
            <v>In Direct</v>
          </cell>
          <cell r="G102" t="str">
            <v>Vinay Kumar Kalishankar</v>
          </cell>
          <cell r="H102" t="str">
            <v>InDirect Labour Wage</v>
          </cell>
          <cell r="I102">
            <v>0</v>
          </cell>
          <cell r="J102" t="str">
            <v>Core Factory</v>
          </cell>
          <cell r="K102" t="str">
            <v>Core</v>
          </cell>
          <cell r="L102" t="str">
            <v>Testing</v>
          </cell>
          <cell r="M102" t="str">
            <v>Technician</v>
          </cell>
          <cell r="N102">
            <v>42023</v>
          </cell>
          <cell r="O102">
            <v>11.134246575342466</v>
          </cell>
          <cell r="P102" t="str">
            <v>T</v>
          </cell>
          <cell r="Q102">
            <v>0</v>
          </cell>
          <cell r="R102">
            <v>0</v>
          </cell>
          <cell r="S102" t="str">
            <v>T</v>
          </cell>
          <cell r="T102">
            <v>0</v>
          </cell>
          <cell r="U102">
            <v>0</v>
          </cell>
          <cell r="V102" t="str">
            <v>T</v>
          </cell>
          <cell r="W102">
            <v>0</v>
          </cell>
          <cell r="X102">
            <v>0</v>
          </cell>
          <cell r="Y102" t="str">
            <v>T</v>
          </cell>
          <cell r="Z102">
            <v>0</v>
          </cell>
          <cell r="AA102">
            <v>0</v>
          </cell>
          <cell r="AB102" t="str">
            <v>T</v>
          </cell>
          <cell r="AC102">
            <v>0</v>
          </cell>
          <cell r="AD102">
            <v>0</v>
          </cell>
          <cell r="AE102" t="str">
            <v>T</v>
          </cell>
          <cell r="AF102">
            <v>0</v>
          </cell>
          <cell r="AG102">
            <v>0</v>
          </cell>
          <cell r="AH102" t="str">
            <v>T</v>
          </cell>
          <cell r="AI102">
            <v>0</v>
          </cell>
          <cell r="AJ102">
            <v>0</v>
          </cell>
          <cell r="AK102" t="str">
            <v>T</v>
          </cell>
          <cell r="AL102">
            <v>0</v>
          </cell>
          <cell r="AM102">
            <v>0</v>
          </cell>
          <cell r="AN102" t="str">
            <v>T</v>
          </cell>
          <cell r="AO102">
            <v>0</v>
          </cell>
          <cell r="AP102">
            <v>0</v>
          </cell>
          <cell r="AQ102" t="str">
            <v>T</v>
          </cell>
          <cell r="AR102">
            <v>0</v>
          </cell>
          <cell r="AS102">
            <v>0</v>
          </cell>
          <cell r="AT102" t="str">
            <v>T</v>
          </cell>
          <cell r="AU102">
            <v>0</v>
          </cell>
          <cell r="AV102">
            <v>0</v>
          </cell>
          <cell r="AW102" t="str">
            <v>T</v>
          </cell>
          <cell r="AX102">
            <v>0</v>
          </cell>
          <cell r="AY102">
            <v>0</v>
          </cell>
          <cell r="AZ102" t="str">
            <v>T</v>
          </cell>
          <cell r="BA102">
            <v>0</v>
          </cell>
          <cell r="BB102">
            <v>0</v>
          </cell>
          <cell r="BC102" t="str">
            <v>T</v>
          </cell>
          <cell r="BD102">
            <v>0</v>
          </cell>
          <cell r="BE102">
            <v>0</v>
          </cell>
          <cell r="BF102" t="str">
            <v>T</v>
          </cell>
          <cell r="BG102">
            <v>0</v>
          </cell>
          <cell r="BH102">
            <v>0</v>
          </cell>
          <cell r="BI102" t="str">
            <v>T</v>
          </cell>
          <cell r="BJ102">
            <v>0</v>
          </cell>
          <cell r="BK102">
            <v>0</v>
          </cell>
          <cell r="BL102" t="str">
            <v>T</v>
          </cell>
          <cell r="BM102">
            <v>0</v>
          </cell>
          <cell r="BN102">
            <v>0</v>
          </cell>
          <cell r="BO102" t="str">
            <v>T</v>
          </cell>
          <cell r="BP102">
            <v>0</v>
          </cell>
          <cell r="BQ102">
            <v>0</v>
          </cell>
          <cell r="BR102" t="str">
            <v>T</v>
          </cell>
          <cell r="BS102">
            <v>0</v>
          </cell>
          <cell r="BT102">
            <v>0</v>
          </cell>
          <cell r="BU102" t="str">
            <v>T</v>
          </cell>
          <cell r="BV102">
            <v>0</v>
          </cell>
          <cell r="BW102">
            <v>0</v>
          </cell>
          <cell r="BX102" t="str">
            <v>T</v>
          </cell>
          <cell r="BY102">
            <v>0</v>
          </cell>
          <cell r="BZ102">
            <v>0</v>
          </cell>
          <cell r="CA102" t="str">
            <v>T</v>
          </cell>
          <cell r="CB102">
            <v>0</v>
          </cell>
          <cell r="CC102">
            <v>0</v>
          </cell>
          <cell r="CD102" t="str">
            <v>T</v>
          </cell>
          <cell r="CE102">
            <v>0</v>
          </cell>
          <cell r="CF102">
            <v>0</v>
          </cell>
          <cell r="CG102" t="str">
            <v>T</v>
          </cell>
          <cell r="CH102">
            <v>0</v>
          </cell>
          <cell r="CI102">
            <v>0</v>
          </cell>
          <cell r="CJ102" t="str">
            <v>T</v>
          </cell>
          <cell r="CK102">
            <v>0</v>
          </cell>
          <cell r="CL102">
            <v>0</v>
          </cell>
          <cell r="CM102" t="str">
            <v>T</v>
          </cell>
          <cell r="CN102">
            <v>0</v>
          </cell>
          <cell r="CO102">
            <v>0</v>
          </cell>
          <cell r="CP102" t="str">
            <v>T</v>
          </cell>
          <cell r="CQ102">
            <v>0</v>
          </cell>
          <cell r="CR102">
            <v>0</v>
          </cell>
          <cell r="CS102" t="str">
            <v>T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28</v>
          </cell>
          <cell r="DO102">
            <v>28</v>
          </cell>
          <cell r="DP102">
            <v>0</v>
          </cell>
          <cell r="DQ102">
            <v>0</v>
          </cell>
          <cell r="DR102">
            <v>0</v>
          </cell>
        </row>
        <row r="103">
          <cell r="D103" t="str">
            <v>CFCP0101</v>
          </cell>
          <cell r="E103" t="str">
            <v>Active</v>
          </cell>
          <cell r="F103" t="str">
            <v>Direct</v>
          </cell>
          <cell r="G103" t="str">
            <v>Sushil JagdishPrasad Yadav</v>
          </cell>
          <cell r="H103" t="str">
            <v>Direct Labour Wage</v>
          </cell>
          <cell r="I103">
            <v>0</v>
          </cell>
          <cell r="J103" t="str">
            <v>Core Factory</v>
          </cell>
          <cell r="K103" t="str">
            <v>Core</v>
          </cell>
          <cell r="L103" t="str">
            <v>Furnace</v>
          </cell>
          <cell r="M103" t="str">
            <v>Helper</v>
          </cell>
          <cell r="N103">
            <v>45870</v>
          </cell>
          <cell r="O103">
            <v>0.59452054794520548</v>
          </cell>
          <cell r="P103" t="str">
            <v>T</v>
          </cell>
          <cell r="Q103">
            <v>0</v>
          </cell>
          <cell r="R103">
            <v>0</v>
          </cell>
          <cell r="S103" t="str">
            <v>T</v>
          </cell>
          <cell r="T103">
            <v>0</v>
          </cell>
          <cell r="U103">
            <v>0</v>
          </cell>
          <cell r="V103" t="str">
            <v>T</v>
          </cell>
          <cell r="W103">
            <v>0</v>
          </cell>
          <cell r="X103">
            <v>0</v>
          </cell>
          <cell r="Y103" t="str">
            <v>T</v>
          </cell>
          <cell r="Z103">
            <v>0</v>
          </cell>
          <cell r="AA103">
            <v>0</v>
          </cell>
          <cell r="AB103" t="str">
            <v>T</v>
          </cell>
          <cell r="AC103">
            <v>0</v>
          </cell>
          <cell r="AD103">
            <v>0</v>
          </cell>
          <cell r="AE103" t="str">
            <v>T</v>
          </cell>
          <cell r="AF103">
            <v>0</v>
          </cell>
          <cell r="AG103">
            <v>0</v>
          </cell>
          <cell r="AH103" t="str">
            <v>P</v>
          </cell>
          <cell r="AI103">
            <v>0</v>
          </cell>
          <cell r="AJ103">
            <v>3</v>
          </cell>
          <cell r="AK103" t="str">
            <v>S</v>
          </cell>
          <cell r="AL103">
            <v>0</v>
          </cell>
          <cell r="AM103">
            <v>11.5</v>
          </cell>
          <cell r="AN103" t="str">
            <v>T</v>
          </cell>
          <cell r="AO103">
            <v>0</v>
          </cell>
          <cell r="AP103">
            <v>0</v>
          </cell>
          <cell r="AQ103" t="str">
            <v>A</v>
          </cell>
          <cell r="AR103">
            <v>0</v>
          </cell>
          <cell r="AS103">
            <v>0</v>
          </cell>
          <cell r="AT103" t="str">
            <v>A</v>
          </cell>
          <cell r="AU103">
            <v>0</v>
          </cell>
          <cell r="AV103">
            <v>0</v>
          </cell>
          <cell r="AW103" t="str">
            <v>A</v>
          </cell>
          <cell r="AX103">
            <v>0</v>
          </cell>
          <cell r="AY103">
            <v>0</v>
          </cell>
          <cell r="AZ103" t="str">
            <v>A</v>
          </cell>
          <cell r="BA103">
            <v>0</v>
          </cell>
          <cell r="BB103">
            <v>0</v>
          </cell>
          <cell r="BC103" t="str">
            <v>A</v>
          </cell>
          <cell r="BD103">
            <v>0</v>
          </cell>
          <cell r="BE103">
            <v>0</v>
          </cell>
          <cell r="BF103" t="str">
            <v>A</v>
          </cell>
          <cell r="BG103">
            <v>0</v>
          </cell>
          <cell r="BH103">
            <v>0</v>
          </cell>
          <cell r="BI103" t="str">
            <v>A</v>
          </cell>
          <cell r="BJ103">
            <v>0</v>
          </cell>
          <cell r="BK103">
            <v>0</v>
          </cell>
          <cell r="BL103" t="str">
            <v>A</v>
          </cell>
          <cell r="BM103">
            <v>0</v>
          </cell>
          <cell r="BN103">
            <v>0</v>
          </cell>
          <cell r="BO103" t="str">
            <v>A</v>
          </cell>
          <cell r="BP103">
            <v>0</v>
          </cell>
          <cell r="BQ103">
            <v>0</v>
          </cell>
          <cell r="BR103" t="str">
            <v>A</v>
          </cell>
          <cell r="BS103">
            <v>0</v>
          </cell>
          <cell r="BT103">
            <v>0</v>
          </cell>
          <cell r="BU103" t="str">
            <v>A</v>
          </cell>
          <cell r="BV103">
            <v>0</v>
          </cell>
          <cell r="BW103">
            <v>0</v>
          </cell>
          <cell r="BX103" t="str">
            <v>A</v>
          </cell>
          <cell r="BY103">
            <v>0</v>
          </cell>
          <cell r="BZ103">
            <v>0</v>
          </cell>
          <cell r="CA103" t="str">
            <v>A</v>
          </cell>
          <cell r="CB103">
            <v>0</v>
          </cell>
          <cell r="CC103">
            <v>0</v>
          </cell>
          <cell r="CD103" t="str">
            <v>A</v>
          </cell>
          <cell r="CE103">
            <v>0</v>
          </cell>
          <cell r="CF103">
            <v>0</v>
          </cell>
          <cell r="CG103" t="str">
            <v>A</v>
          </cell>
          <cell r="CH103">
            <v>0</v>
          </cell>
          <cell r="CI103">
            <v>0</v>
          </cell>
          <cell r="CJ103" t="str">
            <v>A</v>
          </cell>
          <cell r="CK103">
            <v>0</v>
          </cell>
          <cell r="CL103">
            <v>0</v>
          </cell>
          <cell r="CM103" t="str">
            <v>A</v>
          </cell>
          <cell r="CN103">
            <v>0</v>
          </cell>
          <cell r="CO103">
            <v>0</v>
          </cell>
          <cell r="CP103" t="str">
            <v>A</v>
          </cell>
          <cell r="CQ103">
            <v>0</v>
          </cell>
          <cell r="CR103">
            <v>0</v>
          </cell>
          <cell r="CS103" t="str">
            <v>A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1</v>
          </cell>
          <cell r="DG103">
            <v>0</v>
          </cell>
          <cell r="DH103">
            <v>14.5</v>
          </cell>
          <cell r="DI103">
            <v>19</v>
          </cell>
          <cell r="DJ103">
            <v>0</v>
          </cell>
          <cell r="DK103">
            <v>0</v>
          </cell>
          <cell r="DL103">
            <v>1</v>
          </cell>
          <cell r="DM103">
            <v>1</v>
          </cell>
          <cell r="DN103">
            <v>28</v>
          </cell>
          <cell r="DO103">
            <v>7</v>
          </cell>
          <cell r="DP103">
            <v>0</v>
          </cell>
          <cell r="DQ103">
            <v>0</v>
          </cell>
          <cell r="DR103">
            <v>200</v>
          </cell>
        </row>
        <row r="104">
          <cell r="D104" t="str">
            <v>CFCP0073</v>
          </cell>
          <cell r="E104" t="str">
            <v>Active</v>
          </cell>
          <cell r="F104" t="str">
            <v>Direct</v>
          </cell>
          <cell r="G104" t="str">
            <v>Raj Bahadur Soorjdin Yadav</v>
          </cell>
          <cell r="H104" t="str">
            <v>Direct Labour Wage</v>
          </cell>
          <cell r="I104" t="str">
            <v>EC2521450662-01E</v>
          </cell>
          <cell r="J104" t="str">
            <v>Core Factory</v>
          </cell>
          <cell r="K104" t="str">
            <v>Core</v>
          </cell>
          <cell r="L104" t="str">
            <v>Core production</v>
          </cell>
          <cell r="M104" t="str">
            <v>Cut Core M/c Operator</v>
          </cell>
          <cell r="N104">
            <v>45813</v>
          </cell>
          <cell r="O104">
            <v>0.75068493150684934</v>
          </cell>
          <cell r="P104" t="str">
            <v>S</v>
          </cell>
          <cell r="Q104">
            <v>0</v>
          </cell>
          <cell r="R104">
            <v>3.5</v>
          </cell>
          <cell r="S104" t="str">
            <v>T</v>
          </cell>
          <cell r="T104">
            <v>0</v>
          </cell>
          <cell r="U104">
            <v>0</v>
          </cell>
          <cell r="V104" t="str">
            <v>A</v>
          </cell>
          <cell r="W104">
            <v>0</v>
          </cell>
          <cell r="X104">
            <v>1</v>
          </cell>
          <cell r="Y104" t="str">
            <v>T</v>
          </cell>
          <cell r="Z104">
            <v>0</v>
          </cell>
          <cell r="AA104">
            <v>0</v>
          </cell>
          <cell r="AB104" t="str">
            <v>T</v>
          </cell>
          <cell r="AC104">
            <v>0</v>
          </cell>
          <cell r="AD104">
            <v>0</v>
          </cell>
          <cell r="AE104" t="str">
            <v>T</v>
          </cell>
          <cell r="AF104">
            <v>0</v>
          </cell>
          <cell r="AG104">
            <v>0</v>
          </cell>
          <cell r="AH104" t="str">
            <v>T</v>
          </cell>
          <cell r="AI104">
            <v>0</v>
          </cell>
          <cell r="AJ104">
            <v>0</v>
          </cell>
          <cell r="AK104" t="str">
            <v>T</v>
          </cell>
          <cell r="AL104">
            <v>0</v>
          </cell>
          <cell r="AM104">
            <v>0</v>
          </cell>
          <cell r="AN104" t="str">
            <v>T</v>
          </cell>
          <cell r="AO104">
            <v>0</v>
          </cell>
          <cell r="AP104">
            <v>0</v>
          </cell>
          <cell r="AQ104" t="str">
            <v>T</v>
          </cell>
          <cell r="AR104">
            <v>0</v>
          </cell>
          <cell r="AS104">
            <v>0</v>
          </cell>
          <cell r="AT104" t="str">
            <v>T</v>
          </cell>
          <cell r="AU104">
            <v>0</v>
          </cell>
          <cell r="AV104">
            <v>0</v>
          </cell>
          <cell r="AW104" t="str">
            <v>T</v>
          </cell>
          <cell r="AX104">
            <v>0</v>
          </cell>
          <cell r="AY104">
            <v>0</v>
          </cell>
          <cell r="AZ104" t="str">
            <v>T</v>
          </cell>
          <cell r="BA104">
            <v>0</v>
          </cell>
          <cell r="BB104">
            <v>0</v>
          </cell>
          <cell r="BC104" t="str">
            <v>T</v>
          </cell>
          <cell r="BD104">
            <v>0</v>
          </cell>
          <cell r="BE104">
            <v>0</v>
          </cell>
          <cell r="BF104" t="str">
            <v>T</v>
          </cell>
          <cell r="BG104">
            <v>0</v>
          </cell>
          <cell r="BH104">
            <v>0</v>
          </cell>
          <cell r="BI104" t="str">
            <v>T</v>
          </cell>
          <cell r="BJ104">
            <v>0</v>
          </cell>
          <cell r="BK104">
            <v>0</v>
          </cell>
          <cell r="BL104" t="str">
            <v>T</v>
          </cell>
          <cell r="BM104">
            <v>0</v>
          </cell>
          <cell r="BN104">
            <v>0</v>
          </cell>
          <cell r="BO104" t="str">
            <v>T</v>
          </cell>
          <cell r="BP104">
            <v>0</v>
          </cell>
          <cell r="BQ104">
            <v>0</v>
          </cell>
          <cell r="BR104" t="str">
            <v>T</v>
          </cell>
          <cell r="BS104">
            <v>0</v>
          </cell>
          <cell r="BT104">
            <v>0</v>
          </cell>
          <cell r="BU104" t="str">
            <v>T</v>
          </cell>
          <cell r="BV104">
            <v>0</v>
          </cell>
          <cell r="BW104">
            <v>0</v>
          </cell>
          <cell r="BX104" t="str">
            <v>T</v>
          </cell>
          <cell r="BY104">
            <v>0</v>
          </cell>
          <cell r="BZ104">
            <v>0</v>
          </cell>
          <cell r="CA104" t="str">
            <v>T</v>
          </cell>
          <cell r="CB104">
            <v>0</v>
          </cell>
          <cell r="CC104">
            <v>0</v>
          </cell>
          <cell r="CD104" t="str">
            <v>T</v>
          </cell>
          <cell r="CE104">
            <v>0</v>
          </cell>
          <cell r="CF104">
            <v>0</v>
          </cell>
          <cell r="CG104" t="str">
            <v>T</v>
          </cell>
          <cell r="CH104">
            <v>0</v>
          </cell>
          <cell r="CI104">
            <v>0</v>
          </cell>
          <cell r="CJ104" t="str">
            <v>T</v>
          </cell>
          <cell r="CK104">
            <v>0</v>
          </cell>
          <cell r="CL104">
            <v>0</v>
          </cell>
          <cell r="CM104" t="str">
            <v>T</v>
          </cell>
          <cell r="CN104">
            <v>0</v>
          </cell>
          <cell r="CO104">
            <v>0</v>
          </cell>
          <cell r="CP104" t="str">
            <v>T</v>
          </cell>
          <cell r="CQ104">
            <v>0</v>
          </cell>
          <cell r="CR104">
            <v>0</v>
          </cell>
          <cell r="CS104" t="str">
            <v>T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4.5</v>
          </cell>
          <cell r="DI104">
            <v>1</v>
          </cell>
          <cell r="DJ104">
            <v>0</v>
          </cell>
          <cell r="DK104">
            <v>0</v>
          </cell>
          <cell r="DL104">
            <v>1</v>
          </cell>
          <cell r="DM104">
            <v>0</v>
          </cell>
          <cell r="DN104">
            <v>28</v>
          </cell>
          <cell r="DO104">
            <v>26</v>
          </cell>
          <cell r="DP104">
            <v>0</v>
          </cell>
          <cell r="DQ104">
            <v>0</v>
          </cell>
          <cell r="DR104">
            <v>200</v>
          </cell>
        </row>
        <row r="105">
          <cell r="D105" t="str">
            <v>CFCP0556</v>
          </cell>
          <cell r="E105" t="str">
            <v>Active</v>
          </cell>
          <cell r="F105" t="str">
            <v>Direct</v>
          </cell>
          <cell r="G105" t="str">
            <v>Sanjay Kumar Chote lal</v>
          </cell>
          <cell r="H105" t="str">
            <v>Direct Labour Wage</v>
          </cell>
          <cell r="I105" t="str">
            <v>EC2414422662-01E</v>
          </cell>
          <cell r="J105" t="str">
            <v>Core Factory</v>
          </cell>
          <cell r="K105" t="str">
            <v>Coil Winding</v>
          </cell>
          <cell r="L105" t="str">
            <v>Machine Winding</v>
          </cell>
          <cell r="M105" t="str">
            <v>Operator</v>
          </cell>
          <cell r="N105">
            <v>45529</v>
          </cell>
          <cell r="O105">
            <v>1.5287671232876712</v>
          </cell>
          <cell r="P105" t="str">
            <v>S</v>
          </cell>
          <cell r="Q105">
            <v>0</v>
          </cell>
          <cell r="R105">
            <v>5.5</v>
          </cell>
          <cell r="S105" t="str">
            <v>P</v>
          </cell>
          <cell r="T105">
            <v>0</v>
          </cell>
          <cell r="U105">
            <v>2</v>
          </cell>
          <cell r="V105" t="str">
            <v>P</v>
          </cell>
          <cell r="W105">
            <v>0</v>
          </cell>
          <cell r="X105">
            <v>2</v>
          </cell>
          <cell r="Y105" t="str">
            <v>P</v>
          </cell>
          <cell r="Z105">
            <v>0</v>
          </cell>
          <cell r="AA105">
            <v>2</v>
          </cell>
          <cell r="AB105" t="str">
            <v>P</v>
          </cell>
          <cell r="AC105">
            <v>0</v>
          </cell>
          <cell r="AD105">
            <v>2</v>
          </cell>
          <cell r="AE105" t="str">
            <v>P</v>
          </cell>
          <cell r="AF105">
            <v>0</v>
          </cell>
          <cell r="AG105">
            <v>2</v>
          </cell>
          <cell r="AH105" t="str">
            <v>P</v>
          </cell>
          <cell r="AI105">
            <v>0</v>
          </cell>
          <cell r="AJ105">
            <v>2</v>
          </cell>
          <cell r="AK105" t="str">
            <v>S</v>
          </cell>
          <cell r="AL105">
            <v>0</v>
          </cell>
          <cell r="AM105">
            <v>5.5</v>
          </cell>
          <cell r="AN105" t="str">
            <v>P</v>
          </cell>
          <cell r="AO105">
            <v>0</v>
          </cell>
          <cell r="AP105">
            <v>2</v>
          </cell>
          <cell r="AQ105" t="str">
            <v>P</v>
          </cell>
          <cell r="AR105">
            <v>0</v>
          </cell>
          <cell r="AS105">
            <v>2</v>
          </cell>
          <cell r="AT105" t="str">
            <v>P</v>
          </cell>
          <cell r="AU105">
            <v>0</v>
          </cell>
          <cell r="AV105">
            <v>2</v>
          </cell>
          <cell r="AW105" t="str">
            <v>P</v>
          </cell>
          <cell r="AX105">
            <v>0</v>
          </cell>
          <cell r="AY105">
            <v>2</v>
          </cell>
          <cell r="AZ105" t="str">
            <v>P</v>
          </cell>
          <cell r="BA105">
            <v>0</v>
          </cell>
          <cell r="BB105">
            <v>2</v>
          </cell>
          <cell r="BC105" t="str">
            <v>P</v>
          </cell>
          <cell r="BD105">
            <v>0</v>
          </cell>
          <cell r="BE105">
            <v>2</v>
          </cell>
          <cell r="BF105" t="str">
            <v>S</v>
          </cell>
          <cell r="BG105">
            <v>0</v>
          </cell>
          <cell r="BH105">
            <v>5.5</v>
          </cell>
          <cell r="BI105" t="str">
            <v>P</v>
          </cell>
          <cell r="BJ105">
            <v>0</v>
          </cell>
          <cell r="BK105">
            <v>2</v>
          </cell>
          <cell r="BL105" t="str">
            <v>P</v>
          </cell>
          <cell r="BM105">
            <v>0</v>
          </cell>
          <cell r="BN105">
            <v>2</v>
          </cell>
          <cell r="BO105" t="str">
            <v>P</v>
          </cell>
          <cell r="BP105">
            <v>0</v>
          </cell>
          <cell r="BQ105">
            <v>2</v>
          </cell>
          <cell r="BR105" t="str">
            <v>P</v>
          </cell>
          <cell r="BS105">
            <v>0</v>
          </cell>
          <cell r="BT105">
            <v>2</v>
          </cell>
          <cell r="BU105" t="str">
            <v>P</v>
          </cell>
          <cell r="BV105">
            <v>0</v>
          </cell>
          <cell r="BW105">
            <v>2</v>
          </cell>
          <cell r="BX105" t="str">
            <v>P</v>
          </cell>
          <cell r="BY105">
            <v>0</v>
          </cell>
          <cell r="BZ105">
            <v>2</v>
          </cell>
          <cell r="CA105" t="str">
            <v>S</v>
          </cell>
          <cell r="CB105">
            <v>0</v>
          </cell>
          <cell r="CC105">
            <v>0</v>
          </cell>
          <cell r="CD105" t="str">
            <v>A</v>
          </cell>
          <cell r="CE105">
            <v>0</v>
          </cell>
          <cell r="CF105">
            <v>0</v>
          </cell>
          <cell r="CG105" t="str">
            <v>P</v>
          </cell>
          <cell r="CH105">
            <v>0</v>
          </cell>
          <cell r="CI105">
            <v>1.5</v>
          </cell>
          <cell r="CJ105" t="str">
            <v>P</v>
          </cell>
          <cell r="CK105">
            <v>0</v>
          </cell>
          <cell r="CL105">
            <v>1</v>
          </cell>
          <cell r="CM105" t="str">
            <v>P</v>
          </cell>
          <cell r="CN105">
            <v>0</v>
          </cell>
          <cell r="CO105">
            <v>2</v>
          </cell>
          <cell r="CP105" t="str">
            <v>P</v>
          </cell>
          <cell r="CQ105">
            <v>0</v>
          </cell>
          <cell r="CR105">
            <v>2</v>
          </cell>
          <cell r="CS105" t="str">
            <v>P</v>
          </cell>
          <cell r="CT105">
            <v>0</v>
          </cell>
          <cell r="CU105">
            <v>2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23</v>
          </cell>
          <cell r="DG105">
            <v>0</v>
          </cell>
          <cell r="DH105">
            <v>61</v>
          </cell>
          <cell r="DI105">
            <v>1</v>
          </cell>
          <cell r="DJ105">
            <v>0</v>
          </cell>
          <cell r="DK105">
            <v>0</v>
          </cell>
          <cell r="DL105">
            <v>4</v>
          </cell>
          <cell r="DM105">
            <v>23</v>
          </cell>
          <cell r="DN105">
            <v>28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</row>
        <row r="106">
          <cell r="D106" t="str">
            <v>CFCA0240</v>
          </cell>
          <cell r="E106" t="str">
            <v>Active</v>
          </cell>
          <cell r="F106" t="str">
            <v>Direct</v>
          </cell>
          <cell r="G106" t="str">
            <v>Vinod rakesh saroj</v>
          </cell>
          <cell r="H106" t="str">
            <v>Direct Labour Wage</v>
          </cell>
          <cell r="I106" t="str">
            <v>EC2521450623-01E</v>
          </cell>
          <cell r="J106" t="str">
            <v>UNIT-2</v>
          </cell>
          <cell r="K106" t="str">
            <v>Coil Winding</v>
          </cell>
          <cell r="L106" t="str">
            <v>Machine Winding</v>
          </cell>
          <cell r="M106" t="str">
            <v>Operator</v>
          </cell>
          <cell r="N106">
            <v>45820</v>
          </cell>
          <cell r="O106">
            <v>0.73150684931506849</v>
          </cell>
          <cell r="P106" t="str">
            <v>S</v>
          </cell>
          <cell r="Q106">
            <v>0</v>
          </cell>
          <cell r="R106">
            <v>5.5</v>
          </cell>
          <cell r="S106" t="str">
            <v>T</v>
          </cell>
          <cell r="T106">
            <v>0</v>
          </cell>
          <cell r="U106">
            <v>0</v>
          </cell>
          <cell r="V106" t="str">
            <v>T</v>
          </cell>
          <cell r="W106">
            <v>0</v>
          </cell>
          <cell r="X106">
            <v>0</v>
          </cell>
          <cell r="Y106" t="str">
            <v>T</v>
          </cell>
          <cell r="Z106">
            <v>0</v>
          </cell>
          <cell r="AA106">
            <v>0</v>
          </cell>
          <cell r="AB106" t="str">
            <v>P</v>
          </cell>
          <cell r="AC106">
            <v>0</v>
          </cell>
          <cell r="AD106">
            <v>2</v>
          </cell>
          <cell r="AE106" t="str">
            <v>T</v>
          </cell>
          <cell r="AF106">
            <v>0</v>
          </cell>
          <cell r="AG106">
            <v>0</v>
          </cell>
          <cell r="AH106" t="str">
            <v>T</v>
          </cell>
          <cell r="AI106">
            <v>0</v>
          </cell>
          <cell r="AJ106">
            <v>0</v>
          </cell>
          <cell r="AK106" t="str">
            <v>S</v>
          </cell>
          <cell r="AL106">
            <v>0</v>
          </cell>
          <cell r="AM106">
            <v>0</v>
          </cell>
          <cell r="AN106" t="str">
            <v>T</v>
          </cell>
          <cell r="AO106">
            <v>0</v>
          </cell>
          <cell r="AP106">
            <v>0</v>
          </cell>
          <cell r="AQ106" t="str">
            <v>T</v>
          </cell>
          <cell r="AR106">
            <v>0</v>
          </cell>
          <cell r="AS106">
            <v>0</v>
          </cell>
          <cell r="AT106" t="str">
            <v>T</v>
          </cell>
          <cell r="AU106">
            <v>0</v>
          </cell>
          <cell r="AV106">
            <v>0</v>
          </cell>
          <cell r="AW106" t="str">
            <v>T</v>
          </cell>
          <cell r="AX106">
            <v>0</v>
          </cell>
          <cell r="AY106">
            <v>0</v>
          </cell>
          <cell r="AZ106" t="str">
            <v>T</v>
          </cell>
          <cell r="BA106">
            <v>0</v>
          </cell>
          <cell r="BB106">
            <v>0</v>
          </cell>
          <cell r="BC106" t="str">
            <v>T</v>
          </cell>
          <cell r="BD106">
            <v>0</v>
          </cell>
          <cell r="BE106">
            <v>0</v>
          </cell>
          <cell r="BF106" t="str">
            <v>S</v>
          </cell>
          <cell r="BG106">
            <v>0</v>
          </cell>
          <cell r="BH106">
            <v>0</v>
          </cell>
          <cell r="BI106" t="str">
            <v>T</v>
          </cell>
          <cell r="BJ106">
            <v>0</v>
          </cell>
          <cell r="BK106">
            <v>0</v>
          </cell>
          <cell r="BL106" t="str">
            <v>T</v>
          </cell>
          <cell r="BM106">
            <v>0</v>
          </cell>
          <cell r="BN106">
            <v>0</v>
          </cell>
          <cell r="BO106" t="str">
            <v>T</v>
          </cell>
          <cell r="BP106">
            <v>0</v>
          </cell>
          <cell r="BQ106">
            <v>0</v>
          </cell>
          <cell r="BR106" t="str">
            <v>T</v>
          </cell>
          <cell r="BS106">
            <v>0</v>
          </cell>
          <cell r="BT106">
            <v>0</v>
          </cell>
          <cell r="BU106" t="str">
            <v>T</v>
          </cell>
          <cell r="BV106">
            <v>0</v>
          </cell>
          <cell r="BW106">
            <v>0</v>
          </cell>
          <cell r="BX106" t="str">
            <v>P</v>
          </cell>
          <cell r="BY106">
            <v>0</v>
          </cell>
          <cell r="BZ106">
            <v>2</v>
          </cell>
          <cell r="CA106" t="str">
            <v>S</v>
          </cell>
          <cell r="CB106">
            <v>0</v>
          </cell>
          <cell r="CC106">
            <v>0</v>
          </cell>
          <cell r="CD106" t="str">
            <v>T</v>
          </cell>
          <cell r="CE106">
            <v>0</v>
          </cell>
          <cell r="CF106">
            <v>0</v>
          </cell>
          <cell r="CG106" t="str">
            <v>T</v>
          </cell>
          <cell r="CH106">
            <v>0</v>
          </cell>
          <cell r="CI106">
            <v>0</v>
          </cell>
          <cell r="CJ106" t="str">
            <v>T</v>
          </cell>
          <cell r="CK106">
            <v>0</v>
          </cell>
          <cell r="CL106">
            <v>0</v>
          </cell>
          <cell r="CM106" t="str">
            <v>T</v>
          </cell>
          <cell r="CN106">
            <v>0</v>
          </cell>
          <cell r="CO106">
            <v>0</v>
          </cell>
          <cell r="CP106" t="str">
            <v>T</v>
          </cell>
          <cell r="CQ106">
            <v>0</v>
          </cell>
          <cell r="CR106">
            <v>0</v>
          </cell>
          <cell r="CS106" t="str">
            <v>T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2</v>
          </cell>
          <cell r="DG106">
            <v>0</v>
          </cell>
          <cell r="DH106">
            <v>9.5</v>
          </cell>
          <cell r="DI106">
            <v>0</v>
          </cell>
          <cell r="DJ106">
            <v>0</v>
          </cell>
          <cell r="DK106">
            <v>0</v>
          </cell>
          <cell r="DL106">
            <v>4</v>
          </cell>
          <cell r="DM106">
            <v>2</v>
          </cell>
          <cell r="DN106">
            <v>28</v>
          </cell>
          <cell r="DO106">
            <v>22</v>
          </cell>
          <cell r="DP106">
            <v>0</v>
          </cell>
          <cell r="DQ106">
            <v>0</v>
          </cell>
          <cell r="DR106">
            <v>0</v>
          </cell>
        </row>
        <row r="107">
          <cell r="D107" t="str">
            <v>NUC0799</v>
          </cell>
          <cell r="E107" t="str">
            <v>Active</v>
          </cell>
          <cell r="F107" t="str">
            <v>Direct</v>
          </cell>
          <cell r="G107" t="str">
            <v>Shiv Milan Vishwakarma</v>
          </cell>
          <cell r="H107" t="str">
            <v>Direct Labour Wage</v>
          </cell>
          <cell r="I107" t="str">
            <v>EC2521450533-01E</v>
          </cell>
          <cell r="J107" t="str">
            <v>Core Factory</v>
          </cell>
          <cell r="K107" t="str">
            <v>Core</v>
          </cell>
          <cell r="L107" t="str">
            <v>Varnish</v>
          </cell>
          <cell r="M107" t="str">
            <v>Helper</v>
          </cell>
          <cell r="N107">
            <v>45292</v>
          </cell>
          <cell r="O107">
            <v>2.1780821917808217</v>
          </cell>
          <cell r="P107" t="str">
            <v>T</v>
          </cell>
          <cell r="Q107">
            <v>0</v>
          </cell>
          <cell r="R107">
            <v>0</v>
          </cell>
          <cell r="S107" t="str">
            <v>T</v>
          </cell>
          <cell r="T107">
            <v>0</v>
          </cell>
          <cell r="U107">
            <v>0</v>
          </cell>
          <cell r="V107" t="str">
            <v>T</v>
          </cell>
          <cell r="W107">
            <v>0</v>
          </cell>
          <cell r="X107">
            <v>0</v>
          </cell>
          <cell r="Y107" t="str">
            <v>T</v>
          </cell>
          <cell r="Z107">
            <v>0</v>
          </cell>
          <cell r="AA107">
            <v>0</v>
          </cell>
          <cell r="AB107" t="str">
            <v>T</v>
          </cell>
          <cell r="AC107">
            <v>0</v>
          </cell>
          <cell r="AD107">
            <v>0</v>
          </cell>
          <cell r="AE107" t="str">
            <v>T</v>
          </cell>
          <cell r="AF107">
            <v>0</v>
          </cell>
          <cell r="AG107">
            <v>0</v>
          </cell>
          <cell r="AH107" t="str">
            <v>T</v>
          </cell>
          <cell r="AI107">
            <v>0</v>
          </cell>
          <cell r="AJ107">
            <v>0</v>
          </cell>
          <cell r="AK107" t="str">
            <v>T</v>
          </cell>
          <cell r="AL107">
            <v>0</v>
          </cell>
          <cell r="AM107">
            <v>0</v>
          </cell>
          <cell r="AN107" t="str">
            <v>T</v>
          </cell>
          <cell r="AO107">
            <v>0</v>
          </cell>
          <cell r="AP107">
            <v>0</v>
          </cell>
          <cell r="AQ107" t="str">
            <v>T</v>
          </cell>
          <cell r="AR107">
            <v>0</v>
          </cell>
          <cell r="AS107">
            <v>0</v>
          </cell>
          <cell r="AT107" t="str">
            <v>T</v>
          </cell>
          <cell r="AU107">
            <v>0</v>
          </cell>
          <cell r="AV107">
            <v>0</v>
          </cell>
          <cell r="AW107" t="str">
            <v>T</v>
          </cell>
          <cell r="AX107">
            <v>0</v>
          </cell>
          <cell r="AY107">
            <v>0</v>
          </cell>
          <cell r="AZ107" t="str">
            <v>T</v>
          </cell>
          <cell r="BA107">
            <v>0</v>
          </cell>
          <cell r="BB107">
            <v>0</v>
          </cell>
          <cell r="BC107" t="str">
            <v>T</v>
          </cell>
          <cell r="BD107">
            <v>0</v>
          </cell>
          <cell r="BE107">
            <v>0</v>
          </cell>
          <cell r="BF107" t="str">
            <v>T</v>
          </cell>
          <cell r="BG107">
            <v>0</v>
          </cell>
          <cell r="BH107">
            <v>0</v>
          </cell>
          <cell r="BI107" t="str">
            <v>T</v>
          </cell>
          <cell r="BJ107">
            <v>0</v>
          </cell>
          <cell r="BK107">
            <v>0</v>
          </cell>
          <cell r="BL107" t="str">
            <v>T</v>
          </cell>
          <cell r="BM107">
            <v>0</v>
          </cell>
          <cell r="BN107">
            <v>0</v>
          </cell>
          <cell r="BO107" t="str">
            <v>T</v>
          </cell>
          <cell r="BP107">
            <v>0</v>
          </cell>
          <cell r="BQ107">
            <v>0</v>
          </cell>
          <cell r="BR107" t="str">
            <v>T</v>
          </cell>
          <cell r="BS107">
            <v>0</v>
          </cell>
          <cell r="BT107">
            <v>0</v>
          </cell>
          <cell r="BU107" t="str">
            <v>A</v>
          </cell>
          <cell r="BV107">
            <v>0</v>
          </cell>
          <cell r="BW107">
            <v>0</v>
          </cell>
          <cell r="BX107" t="str">
            <v>A</v>
          </cell>
          <cell r="BY107">
            <v>0</v>
          </cell>
          <cell r="BZ107">
            <v>0</v>
          </cell>
          <cell r="CA107" t="str">
            <v>A</v>
          </cell>
          <cell r="CB107">
            <v>0</v>
          </cell>
          <cell r="CC107">
            <v>0</v>
          </cell>
          <cell r="CD107" t="str">
            <v>A</v>
          </cell>
          <cell r="CE107">
            <v>0</v>
          </cell>
          <cell r="CF107">
            <v>0</v>
          </cell>
          <cell r="CG107" t="str">
            <v>A</v>
          </cell>
          <cell r="CH107">
            <v>0</v>
          </cell>
          <cell r="CI107">
            <v>0</v>
          </cell>
          <cell r="CJ107" t="str">
            <v>A</v>
          </cell>
          <cell r="CK107">
            <v>0</v>
          </cell>
          <cell r="CL107">
            <v>0</v>
          </cell>
          <cell r="CM107" t="str">
            <v>A</v>
          </cell>
          <cell r="CN107">
            <v>0</v>
          </cell>
          <cell r="CO107">
            <v>0</v>
          </cell>
          <cell r="CP107" t="str">
            <v>A</v>
          </cell>
          <cell r="CQ107">
            <v>0</v>
          </cell>
          <cell r="CR107">
            <v>0</v>
          </cell>
          <cell r="CS107" t="str">
            <v>A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9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28</v>
          </cell>
          <cell r="DO107">
            <v>19</v>
          </cell>
          <cell r="DP107">
            <v>0</v>
          </cell>
          <cell r="DQ107">
            <v>0</v>
          </cell>
          <cell r="DR107">
            <v>0</v>
          </cell>
        </row>
        <row r="108">
          <cell r="D108" t="str">
            <v>CFCP0750</v>
          </cell>
          <cell r="E108" t="str">
            <v>Active</v>
          </cell>
          <cell r="F108" t="str">
            <v>Direct</v>
          </cell>
          <cell r="G108" t="str">
            <v>Sonu Raju</v>
          </cell>
          <cell r="H108" t="str">
            <v>Direct Labour Wage</v>
          </cell>
          <cell r="I108" t="str">
            <v>EC2414422661-01E</v>
          </cell>
          <cell r="J108" t="str">
            <v>Core Factory</v>
          </cell>
          <cell r="K108" t="str">
            <v>Core</v>
          </cell>
          <cell r="L108" t="str">
            <v>Furnace</v>
          </cell>
          <cell r="M108" t="str">
            <v>Helper</v>
          </cell>
          <cell r="N108">
            <v>45296</v>
          </cell>
          <cell r="O108">
            <v>2.1671232876712327</v>
          </cell>
          <cell r="P108" t="str">
            <v>T</v>
          </cell>
          <cell r="Q108">
            <v>0</v>
          </cell>
          <cell r="R108">
            <v>0</v>
          </cell>
          <cell r="S108" t="str">
            <v>T</v>
          </cell>
          <cell r="T108">
            <v>0</v>
          </cell>
          <cell r="U108">
            <v>0</v>
          </cell>
          <cell r="V108" t="str">
            <v>T</v>
          </cell>
          <cell r="W108">
            <v>0</v>
          </cell>
          <cell r="X108">
            <v>0</v>
          </cell>
          <cell r="Y108" t="str">
            <v>T</v>
          </cell>
          <cell r="Z108">
            <v>0</v>
          </cell>
          <cell r="AA108">
            <v>0</v>
          </cell>
          <cell r="AB108" t="str">
            <v>T</v>
          </cell>
          <cell r="AC108">
            <v>0</v>
          </cell>
          <cell r="AD108">
            <v>0</v>
          </cell>
          <cell r="AE108" t="str">
            <v>T</v>
          </cell>
          <cell r="AF108">
            <v>0</v>
          </cell>
          <cell r="AG108">
            <v>0</v>
          </cell>
          <cell r="AH108" t="str">
            <v>T</v>
          </cell>
          <cell r="AI108">
            <v>0</v>
          </cell>
          <cell r="AJ108">
            <v>0</v>
          </cell>
          <cell r="AK108" t="str">
            <v>T</v>
          </cell>
          <cell r="AL108">
            <v>0</v>
          </cell>
          <cell r="AM108">
            <v>8.5</v>
          </cell>
          <cell r="AN108" t="str">
            <v>T</v>
          </cell>
          <cell r="AO108">
            <v>0</v>
          </cell>
          <cell r="AP108">
            <v>0</v>
          </cell>
          <cell r="AQ108" t="str">
            <v>T</v>
          </cell>
          <cell r="AR108">
            <v>0</v>
          </cell>
          <cell r="AS108">
            <v>0</v>
          </cell>
          <cell r="AT108" t="str">
            <v>T</v>
          </cell>
          <cell r="AU108">
            <v>0</v>
          </cell>
          <cell r="AV108">
            <v>0</v>
          </cell>
          <cell r="AW108" t="str">
            <v>T</v>
          </cell>
          <cell r="AX108">
            <v>0</v>
          </cell>
          <cell r="AY108">
            <v>0</v>
          </cell>
          <cell r="AZ108" t="str">
            <v>T</v>
          </cell>
          <cell r="BA108">
            <v>0</v>
          </cell>
          <cell r="BB108">
            <v>0</v>
          </cell>
          <cell r="BC108" t="str">
            <v>T</v>
          </cell>
          <cell r="BD108">
            <v>0</v>
          </cell>
          <cell r="BE108">
            <v>0</v>
          </cell>
          <cell r="BF108" t="str">
            <v>T</v>
          </cell>
          <cell r="BG108">
            <v>0</v>
          </cell>
          <cell r="BH108">
            <v>5.5</v>
          </cell>
          <cell r="BI108" t="str">
            <v>T</v>
          </cell>
          <cell r="BJ108">
            <v>0</v>
          </cell>
          <cell r="BK108">
            <v>0</v>
          </cell>
          <cell r="BL108" t="str">
            <v>T</v>
          </cell>
          <cell r="BM108">
            <v>0</v>
          </cell>
          <cell r="BN108">
            <v>0</v>
          </cell>
          <cell r="BO108" t="str">
            <v>P</v>
          </cell>
          <cell r="BP108">
            <v>0</v>
          </cell>
          <cell r="BQ108">
            <v>2</v>
          </cell>
          <cell r="BR108" t="str">
            <v>T</v>
          </cell>
          <cell r="BS108">
            <v>0</v>
          </cell>
          <cell r="BT108">
            <v>0</v>
          </cell>
          <cell r="BU108" t="str">
            <v>T</v>
          </cell>
          <cell r="BV108">
            <v>0</v>
          </cell>
          <cell r="BW108">
            <v>0</v>
          </cell>
          <cell r="BX108" t="str">
            <v>T</v>
          </cell>
          <cell r="BY108">
            <v>0</v>
          </cell>
          <cell r="BZ108">
            <v>0</v>
          </cell>
          <cell r="CA108" t="str">
            <v>T</v>
          </cell>
          <cell r="CB108">
            <v>0</v>
          </cell>
          <cell r="CC108">
            <v>0</v>
          </cell>
          <cell r="CD108" t="str">
            <v>T</v>
          </cell>
          <cell r="CE108">
            <v>0</v>
          </cell>
          <cell r="CF108">
            <v>0</v>
          </cell>
          <cell r="CG108" t="str">
            <v>P</v>
          </cell>
          <cell r="CH108">
            <v>0</v>
          </cell>
          <cell r="CI108">
            <v>1.5</v>
          </cell>
          <cell r="CJ108" t="str">
            <v>T</v>
          </cell>
          <cell r="CK108">
            <v>0</v>
          </cell>
          <cell r="CL108">
            <v>0</v>
          </cell>
          <cell r="CM108" t="str">
            <v>T</v>
          </cell>
          <cell r="CN108">
            <v>0</v>
          </cell>
          <cell r="CO108">
            <v>0</v>
          </cell>
          <cell r="CP108" t="str">
            <v>P</v>
          </cell>
          <cell r="CQ108">
            <v>0</v>
          </cell>
          <cell r="CR108">
            <v>2</v>
          </cell>
          <cell r="CS108" t="str">
            <v>P</v>
          </cell>
          <cell r="CT108">
            <v>0</v>
          </cell>
          <cell r="CU108">
            <v>1.5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4</v>
          </cell>
          <cell r="DG108">
            <v>0</v>
          </cell>
          <cell r="DH108">
            <v>21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4</v>
          </cell>
          <cell r="DN108">
            <v>28</v>
          </cell>
          <cell r="DO108">
            <v>24</v>
          </cell>
          <cell r="DP108">
            <v>0</v>
          </cell>
          <cell r="DQ108">
            <v>0</v>
          </cell>
          <cell r="DR108">
            <v>0</v>
          </cell>
        </row>
        <row r="109">
          <cell r="D109" t="str">
            <v>CFCA0260</v>
          </cell>
          <cell r="E109" t="str">
            <v>Active</v>
          </cell>
          <cell r="F109" t="str">
            <v>Direct</v>
          </cell>
          <cell r="G109" t="str">
            <v>Ram Roop Chedilal</v>
          </cell>
          <cell r="H109" t="str">
            <v>Direct Labour Wage</v>
          </cell>
          <cell r="I109" t="str">
            <v>EC2414422660-01E</v>
          </cell>
          <cell r="J109" t="str">
            <v>Core Factory</v>
          </cell>
          <cell r="K109" t="str">
            <v>Coil Winding</v>
          </cell>
          <cell r="L109" t="str">
            <v>Machine Winding</v>
          </cell>
          <cell r="M109" t="str">
            <v>Operator</v>
          </cell>
          <cell r="N109">
            <v>45069</v>
          </cell>
          <cell r="O109">
            <v>2.7890410958904108</v>
          </cell>
          <cell r="P109" t="str">
            <v>T</v>
          </cell>
          <cell r="Q109">
            <v>0</v>
          </cell>
          <cell r="R109">
            <v>0</v>
          </cell>
          <cell r="S109" t="str">
            <v>T</v>
          </cell>
          <cell r="T109">
            <v>0</v>
          </cell>
          <cell r="U109">
            <v>0</v>
          </cell>
          <cell r="V109" t="str">
            <v>T</v>
          </cell>
          <cell r="W109">
            <v>0</v>
          </cell>
          <cell r="X109">
            <v>0</v>
          </cell>
          <cell r="Y109" t="str">
            <v>T</v>
          </cell>
          <cell r="Z109">
            <v>0</v>
          </cell>
          <cell r="AA109">
            <v>0</v>
          </cell>
          <cell r="AB109" t="str">
            <v>T</v>
          </cell>
          <cell r="AC109">
            <v>0</v>
          </cell>
          <cell r="AD109">
            <v>0</v>
          </cell>
          <cell r="AE109" t="str">
            <v>T</v>
          </cell>
          <cell r="AF109">
            <v>0</v>
          </cell>
          <cell r="AG109">
            <v>0</v>
          </cell>
          <cell r="AH109" t="str">
            <v>T</v>
          </cell>
          <cell r="AI109">
            <v>0</v>
          </cell>
          <cell r="AJ109">
            <v>0</v>
          </cell>
          <cell r="AK109" t="str">
            <v>T</v>
          </cell>
          <cell r="AL109">
            <v>0</v>
          </cell>
          <cell r="AM109">
            <v>0</v>
          </cell>
          <cell r="AN109" t="str">
            <v>T</v>
          </cell>
          <cell r="AO109">
            <v>0</v>
          </cell>
          <cell r="AP109">
            <v>0</v>
          </cell>
          <cell r="AQ109" t="str">
            <v>T</v>
          </cell>
          <cell r="AR109">
            <v>0</v>
          </cell>
          <cell r="AS109">
            <v>0</v>
          </cell>
          <cell r="AT109" t="str">
            <v>P</v>
          </cell>
          <cell r="AU109">
            <v>0</v>
          </cell>
          <cell r="AV109">
            <v>2</v>
          </cell>
          <cell r="AW109" t="str">
            <v>T</v>
          </cell>
          <cell r="AX109">
            <v>0</v>
          </cell>
          <cell r="AY109">
            <v>0</v>
          </cell>
          <cell r="AZ109" t="str">
            <v>T</v>
          </cell>
          <cell r="BA109">
            <v>0</v>
          </cell>
          <cell r="BB109">
            <v>0</v>
          </cell>
          <cell r="BC109" t="str">
            <v>T</v>
          </cell>
          <cell r="BD109">
            <v>0</v>
          </cell>
          <cell r="BE109">
            <v>0</v>
          </cell>
          <cell r="BF109" t="str">
            <v>T</v>
          </cell>
          <cell r="BG109">
            <v>0</v>
          </cell>
          <cell r="BH109">
            <v>0</v>
          </cell>
          <cell r="BI109" t="str">
            <v>T</v>
          </cell>
          <cell r="BJ109">
            <v>0</v>
          </cell>
          <cell r="BK109">
            <v>0</v>
          </cell>
          <cell r="BL109" t="str">
            <v>P</v>
          </cell>
          <cell r="BM109">
            <v>0</v>
          </cell>
          <cell r="BN109">
            <v>2</v>
          </cell>
          <cell r="BO109" t="str">
            <v>T</v>
          </cell>
          <cell r="BP109">
            <v>0</v>
          </cell>
          <cell r="BQ109">
            <v>0</v>
          </cell>
          <cell r="BR109" t="str">
            <v>T</v>
          </cell>
          <cell r="BS109">
            <v>0</v>
          </cell>
          <cell r="BT109">
            <v>0</v>
          </cell>
          <cell r="BU109" t="str">
            <v>T</v>
          </cell>
          <cell r="BV109">
            <v>0</v>
          </cell>
          <cell r="BW109">
            <v>0</v>
          </cell>
          <cell r="BX109" t="str">
            <v>T</v>
          </cell>
          <cell r="BY109">
            <v>0</v>
          </cell>
          <cell r="BZ109">
            <v>0</v>
          </cell>
          <cell r="CA109" t="str">
            <v>S</v>
          </cell>
          <cell r="CB109">
            <v>0</v>
          </cell>
          <cell r="CC109">
            <v>5.5</v>
          </cell>
          <cell r="CD109" t="str">
            <v>P</v>
          </cell>
          <cell r="CE109">
            <v>0</v>
          </cell>
          <cell r="CF109">
            <v>2</v>
          </cell>
          <cell r="CG109" t="str">
            <v>T</v>
          </cell>
          <cell r="CH109">
            <v>0</v>
          </cell>
          <cell r="CI109">
            <v>0</v>
          </cell>
          <cell r="CJ109" t="str">
            <v>T</v>
          </cell>
          <cell r="CK109">
            <v>0</v>
          </cell>
          <cell r="CL109">
            <v>0</v>
          </cell>
          <cell r="CM109" t="str">
            <v>P</v>
          </cell>
          <cell r="CN109">
            <v>0</v>
          </cell>
          <cell r="CO109">
            <v>2</v>
          </cell>
          <cell r="CP109" t="str">
            <v>T</v>
          </cell>
          <cell r="CQ109">
            <v>0</v>
          </cell>
          <cell r="CR109">
            <v>0</v>
          </cell>
          <cell r="CS109" t="str">
            <v>T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4</v>
          </cell>
          <cell r="DG109">
            <v>0</v>
          </cell>
          <cell r="DH109">
            <v>13.5</v>
          </cell>
          <cell r="DI109">
            <v>0</v>
          </cell>
          <cell r="DJ109">
            <v>0</v>
          </cell>
          <cell r="DK109">
            <v>0</v>
          </cell>
          <cell r="DL109">
            <v>1</v>
          </cell>
          <cell r="DM109">
            <v>4</v>
          </cell>
          <cell r="DN109">
            <v>28</v>
          </cell>
          <cell r="DO109">
            <v>23</v>
          </cell>
          <cell r="DP109">
            <v>0</v>
          </cell>
          <cell r="DQ109">
            <v>0</v>
          </cell>
          <cell r="DR109">
            <v>0</v>
          </cell>
        </row>
        <row r="110">
          <cell r="D110" t="str">
            <v>CFCP0730</v>
          </cell>
          <cell r="E110" t="str">
            <v>Active</v>
          </cell>
          <cell r="F110" t="str">
            <v>Direct</v>
          </cell>
          <cell r="G110" t="str">
            <v>Neelesh Deshraj Yadav</v>
          </cell>
          <cell r="H110" t="str">
            <v>Direct Labour Wage</v>
          </cell>
          <cell r="I110" t="str">
            <v>EC2414422907-01E</v>
          </cell>
          <cell r="J110" t="str">
            <v>Core Factory</v>
          </cell>
          <cell r="K110" t="str">
            <v>Mu-Metal</v>
          </cell>
          <cell r="L110" t="str">
            <v>Winding</v>
          </cell>
          <cell r="M110" t="str">
            <v>Operator</v>
          </cell>
          <cell r="N110">
            <v>45250</v>
          </cell>
          <cell r="O110">
            <v>2.2931506849315069</v>
          </cell>
          <cell r="P110" t="str">
            <v>S</v>
          </cell>
          <cell r="Q110">
            <v>0</v>
          </cell>
          <cell r="R110">
            <v>5</v>
          </cell>
          <cell r="S110" t="str">
            <v>P</v>
          </cell>
          <cell r="T110">
            <v>0</v>
          </cell>
          <cell r="U110">
            <v>2</v>
          </cell>
          <cell r="V110" t="str">
            <v>P</v>
          </cell>
          <cell r="W110">
            <v>0</v>
          </cell>
          <cell r="X110">
            <v>2</v>
          </cell>
          <cell r="Y110" t="str">
            <v>P</v>
          </cell>
          <cell r="Z110">
            <v>0</v>
          </cell>
          <cell r="AA110">
            <v>2</v>
          </cell>
          <cell r="AB110" t="str">
            <v>P</v>
          </cell>
          <cell r="AC110">
            <v>0</v>
          </cell>
          <cell r="AD110">
            <v>2</v>
          </cell>
          <cell r="AE110" t="str">
            <v>P</v>
          </cell>
          <cell r="AF110">
            <v>0</v>
          </cell>
          <cell r="AG110">
            <v>2</v>
          </cell>
          <cell r="AH110" t="str">
            <v>P</v>
          </cell>
          <cell r="AI110">
            <v>0</v>
          </cell>
          <cell r="AJ110">
            <v>2</v>
          </cell>
          <cell r="AK110" t="str">
            <v>S</v>
          </cell>
          <cell r="AL110">
            <v>0</v>
          </cell>
          <cell r="AM110">
            <v>5.5</v>
          </cell>
          <cell r="AN110" t="str">
            <v>P</v>
          </cell>
          <cell r="AO110">
            <v>0</v>
          </cell>
          <cell r="AP110">
            <v>0</v>
          </cell>
          <cell r="AQ110" t="str">
            <v>A</v>
          </cell>
          <cell r="AR110">
            <v>0</v>
          </cell>
          <cell r="AS110">
            <v>0</v>
          </cell>
          <cell r="AT110" t="str">
            <v>A</v>
          </cell>
          <cell r="AU110">
            <v>0</v>
          </cell>
          <cell r="AV110">
            <v>0</v>
          </cell>
          <cell r="AW110" t="str">
            <v>A</v>
          </cell>
          <cell r="AX110">
            <v>0</v>
          </cell>
          <cell r="AY110">
            <v>0</v>
          </cell>
          <cell r="AZ110" t="str">
            <v>A</v>
          </cell>
          <cell r="BA110">
            <v>0</v>
          </cell>
          <cell r="BB110">
            <v>0</v>
          </cell>
          <cell r="BC110" t="str">
            <v>A</v>
          </cell>
          <cell r="BD110">
            <v>0</v>
          </cell>
          <cell r="BE110">
            <v>0</v>
          </cell>
          <cell r="BF110" t="str">
            <v>A</v>
          </cell>
          <cell r="BG110">
            <v>0</v>
          </cell>
          <cell r="BH110">
            <v>0</v>
          </cell>
          <cell r="BI110" t="str">
            <v>A</v>
          </cell>
          <cell r="BJ110">
            <v>0</v>
          </cell>
          <cell r="BK110">
            <v>0</v>
          </cell>
          <cell r="BL110" t="str">
            <v>A</v>
          </cell>
          <cell r="BM110">
            <v>0</v>
          </cell>
          <cell r="BN110">
            <v>0</v>
          </cell>
          <cell r="BO110" t="str">
            <v>A</v>
          </cell>
          <cell r="BP110">
            <v>0</v>
          </cell>
          <cell r="BQ110">
            <v>0</v>
          </cell>
          <cell r="BR110" t="str">
            <v>A</v>
          </cell>
          <cell r="BS110">
            <v>0</v>
          </cell>
          <cell r="BT110">
            <v>0</v>
          </cell>
          <cell r="BU110" t="str">
            <v>A</v>
          </cell>
          <cell r="BV110">
            <v>0</v>
          </cell>
          <cell r="BW110">
            <v>0</v>
          </cell>
          <cell r="BX110" t="str">
            <v>A</v>
          </cell>
          <cell r="BY110">
            <v>0</v>
          </cell>
          <cell r="BZ110">
            <v>0</v>
          </cell>
          <cell r="CA110" t="str">
            <v>A</v>
          </cell>
          <cell r="CB110">
            <v>0</v>
          </cell>
          <cell r="CC110">
            <v>0</v>
          </cell>
          <cell r="CD110" t="str">
            <v>A</v>
          </cell>
          <cell r="CE110">
            <v>0</v>
          </cell>
          <cell r="CF110">
            <v>0</v>
          </cell>
          <cell r="CG110" t="str">
            <v>A</v>
          </cell>
          <cell r="CH110">
            <v>0</v>
          </cell>
          <cell r="CI110">
            <v>0</v>
          </cell>
          <cell r="CJ110" t="str">
            <v>A</v>
          </cell>
          <cell r="CK110">
            <v>0</v>
          </cell>
          <cell r="CL110">
            <v>0</v>
          </cell>
          <cell r="CM110" t="str">
            <v>A</v>
          </cell>
          <cell r="CN110">
            <v>0</v>
          </cell>
          <cell r="CO110">
            <v>0</v>
          </cell>
          <cell r="CP110" t="str">
            <v>A</v>
          </cell>
          <cell r="CQ110">
            <v>0</v>
          </cell>
          <cell r="CR110">
            <v>0</v>
          </cell>
          <cell r="CS110" t="str">
            <v>A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7</v>
          </cell>
          <cell r="DG110">
            <v>0</v>
          </cell>
          <cell r="DH110">
            <v>22.5</v>
          </cell>
          <cell r="DI110">
            <v>19</v>
          </cell>
          <cell r="DJ110">
            <v>0</v>
          </cell>
          <cell r="DK110">
            <v>0</v>
          </cell>
          <cell r="DL110">
            <v>2</v>
          </cell>
          <cell r="DM110">
            <v>7</v>
          </cell>
          <cell r="DN110">
            <v>28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</row>
        <row r="111">
          <cell r="D111" t="str">
            <v>CFCP0858</v>
          </cell>
          <cell r="E111" t="str">
            <v>Active</v>
          </cell>
          <cell r="F111" t="str">
            <v>Direct</v>
          </cell>
          <cell r="G111" t="str">
            <v>Vinod kumar Yamuna Prasad Yadav</v>
          </cell>
          <cell r="H111" t="str">
            <v>Direct Labour Wage</v>
          </cell>
          <cell r="I111" t="str">
            <v>EC2521450626-01E</v>
          </cell>
          <cell r="J111" t="str">
            <v>Core Factory</v>
          </cell>
          <cell r="K111" t="str">
            <v>Core</v>
          </cell>
          <cell r="L111" t="str">
            <v>Furnace</v>
          </cell>
          <cell r="M111" t="str">
            <v>Helper</v>
          </cell>
          <cell r="N111">
            <v>45647</v>
          </cell>
          <cell r="O111">
            <v>1.2054794520547945</v>
          </cell>
          <cell r="P111" t="str">
            <v>S</v>
          </cell>
          <cell r="Q111">
            <v>0</v>
          </cell>
          <cell r="R111">
            <v>5.5</v>
          </cell>
          <cell r="S111" t="str">
            <v>P</v>
          </cell>
          <cell r="T111">
            <v>0</v>
          </cell>
          <cell r="U111">
            <v>2</v>
          </cell>
          <cell r="V111" t="str">
            <v>P</v>
          </cell>
          <cell r="W111">
            <v>0</v>
          </cell>
          <cell r="X111">
            <v>2</v>
          </cell>
          <cell r="Y111" t="str">
            <v>P</v>
          </cell>
          <cell r="Z111">
            <v>0</v>
          </cell>
          <cell r="AA111">
            <v>2</v>
          </cell>
          <cell r="AB111" t="str">
            <v>P</v>
          </cell>
          <cell r="AC111">
            <v>0</v>
          </cell>
          <cell r="AD111">
            <v>2</v>
          </cell>
          <cell r="AE111" t="str">
            <v>P</v>
          </cell>
          <cell r="AF111">
            <v>0</v>
          </cell>
          <cell r="AG111">
            <v>2</v>
          </cell>
          <cell r="AH111" t="str">
            <v>P</v>
          </cell>
          <cell r="AI111">
            <v>0</v>
          </cell>
          <cell r="AJ111">
            <v>2</v>
          </cell>
          <cell r="AK111" t="str">
            <v>S</v>
          </cell>
          <cell r="AL111">
            <v>0</v>
          </cell>
          <cell r="AM111">
            <v>5.5</v>
          </cell>
          <cell r="AN111" t="str">
            <v>P</v>
          </cell>
          <cell r="AO111">
            <v>0</v>
          </cell>
          <cell r="AP111">
            <v>0</v>
          </cell>
          <cell r="AQ111" t="str">
            <v>A</v>
          </cell>
          <cell r="AR111">
            <v>0</v>
          </cell>
          <cell r="AS111">
            <v>0</v>
          </cell>
          <cell r="AT111" t="str">
            <v>P</v>
          </cell>
          <cell r="AU111">
            <v>0</v>
          </cell>
          <cell r="AV111">
            <v>2</v>
          </cell>
          <cell r="AW111" t="str">
            <v>P</v>
          </cell>
          <cell r="AX111">
            <v>0</v>
          </cell>
          <cell r="AY111">
            <v>2</v>
          </cell>
          <cell r="AZ111" t="str">
            <v>P</v>
          </cell>
          <cell r="BA111">
            <v>0</v>
          </cell>
          <cell r="BB111">
            <v>2</v>
          </cell>
          <cell r="BC111" t="str">
            <v>P</v>
          </cell>
          <cell r="BD111">
            <v>0</v>
          </cell>
          <cell r="BE111">
            <v>2</v>
          </cell>
          <cell r="BF111" t="str">
            <v>S</v>
          </cell>
          <cell r="BG111">
            <v>0</v>
          </cell>
          <cell r="BH111">
            <v>5.5</v>
          </cell>
          <cell r="BI111" t="str">
            <v>P</v>
          </cell>
          <cell r="BJ111">
            <v>0</v>
          </cell>
          <cell r="BK111">
            <v>2</v>
          </cell>
          <cell r="BL111" t="str">
            <v>P</v>
          </cell>
          <cell r="BM111">
            <v>0</v>
          </cell>
          <cell r="BN111">
            <v>2</v>
          </cell>
          <cell r="BO111" t="str">
            <v>P</v>
          </cell>
          <cell r="BP111">
            <v>0</v>
          </cell>
          <cell r="BQ111">
            <v>2</v>
          </cell>
          <cell r="BR111" t="str">
            <v>P</v>
          </cell>
          <cell r="BS111">
            <v>0</v>
          </cell>
          <cell r="BT111">
            <v>2</v>
          </cell>
          <cell r="BU111" t="str">
            <v>P</v>
          </cell>
          <cell r="BV111">
            <v>0</v>
          </cell>
          <cell r="BW111">
            <v>2</v>
          </cell>
          <cell r="BX111" t="str">
            <v>P</v>
          </cell>
          <cell r="BY111">
            <v>0</v>
          </cell>
          <cell r="BZ111">
            <v>2</v>
          </cell>
          <cell r="CA111" t="str">
            <v>S</v>
          </cell>
          <cell r="CB111">
            <v>0</v>
          </cell>
          <cell r="CC111">
            <v>5.5</v>
          </cell>
          <cell r="CD111" t="str">
            <v>P</v>
          </cell>
          <cell r="CE111">
            <v>0</v>
          </cell>
          <cell r="CF111">
            <v>2</v>
          </cell>
          <cell r="CG111" t="str">
            <v>P</v>
          </cell>
          <cell r="CH111">
            <v>0</v>
          </cell>
          <cell r="CI111">
            <v>2</v>
          </cell>
          <cell r="CJ111" t="str">
            <v>P</v>
          </cell>
          <cell r="CK111">
            <v>0</v>
          </cell>
          <cell r="CL111">
            <v>2</v>
          </cell>
          <cell r="CM111" t="str">
            <v>P</v>
          </cell>
          <cell r="CN111">
            <v>0</v>
          </cell>
          <cell r="CO111">
            <v>2</v>
          </cell>
          <cell r="CP111" t="str">
            <v>P</v>
          </cell>
          <cell r="CQ111">
            <v>0</v>
          </cell>
          <cell r="CR111">
            <v>2</v>
          </cell>
          <cell r="CS111" t="str">
            <v>P</v>
          </cell>
          <cell r="CT111">
            <v>0</v>
          </cell>
          <cell r="CU111">
            <v>2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23</v>
          </cell>
          <cell r="DG111">
            <v>0</v>
          </cell>
          <cell r="DH111">
            <v>66</v>
          </cell>
          <cell r="DI111">
            <v>1</v>
          </cell>
          <cell r="DJ111">
            <v>0</v>
          </cell>
          <cell r="DK111">
            <v>0</v>
          </cell>
          <cell r="DL111">
            <v>4</v>
          </cell>
          <cell r="DM111">
            <v>23</v>
          </cell>
          <cell r="DN111">
            <v>28</v>
          </cell>
          <cell r="DO111">
            <v>0</v>
          </cell>
          <cell r="DP111">
            <v>0</v>
          </cell>
          <cell r="DQ111">
            <v>0</v>
          </cell>
          <cell r="DR111">
            <v>400</v>
          </cell>
        </row>
        <row r="112">
          <cell r="D112" t="str">
            <v>CFCP0743</v>
          </cell>
          <cell r="E112" t="str">
            <v>Active</v>
          </cell>
          <cell r="F112" t="str">
            <v>Direct</v>
          </cell>
          <cell r="G112" t="str">
            <v>Prem Kumar Ram Naresh</v>
          </cell>
          <cell r="H112" t="str">
            <v>Direct Labour Wage</v>
          </cell>
          <cell r="I112" t="str">
            <v>EC2414422790-01E</v>
          </cell>
          <cell r="J112" t="str">
            <v>Core Factory</v>
          </cell>
          <cell r="K112" t="str">
            <v>Core</v>
          </cell>
          <cell r="L112" t="str">
            <v>Sliting M/C</v>
          </cell>
          <cell r="M112" t="str">
            <v>Operator</v>
          </cell>
          <cell r="N112">
            <v>45266</v>
          </cell>
          <cell r="O112">
            <v>2.2493150684931509</v>
          </cell>
          <cell r="P112" t="str">
            <v>T</v>
          </cell>
          <cell r="Q112">
            <v>0</v>
          </cell>
          <cell r="R112">
            <v>0</v>
          </cell>
          <cell r="S112" t="str">
            <v>T</v>
          </cell>
          <cell r="T112">
            <v>0</v>
          </cell>
          <cell r="U112">
            <v>0</v>
          </cell>
          <cell r="V112" t="str">
            <v>P</v>
          </cell>
          <cell r="W112">
            <v>0</v>
          </cell>
          <cell r="X112">
            <v>2</v>
          </cell>
          <cell r="Y112" t="str">
            <v>A</v>
          </cell>
          <cell r="Z112">
            <v>0</v>
          </cell>
          <cell r="AA112">
            <v>0</v>
          </cell>
          <cell r="AB112" t="str">
            <v>T</v>
          </cell>
          <cell r="AC112">
            <v>0</v>
          </cell>
          <cell r="AD112">
            <v>0</v>
          </cell>
          <cell r="AE112" t="str">
            <v>P</v>
          </cell>
          <cell r="AF112">
            <v>0</v>
          </cell>
          <cell r="AG112">
            <v>2</v>
          </cell>
          <cell r="AH112" t="str">
            <v>P</v>
          </cell>
          <cell r="AI112">
            <v>0</v>
          </cell>
          <cell r="AJ112">
            <v>0</v>
          </cell>
          <cell r="AK112" t="str">
            <v>S</v>
          </cell>
          <cell r="AL112">
            <v>0</v>
          </cell>
          <cell r="AM112">
            <v>5.5</v>
          </cell>
          <cell r="AN112" t="str">
            <v>P</v>
          </cell>
          <cell r="AO112">
            <v>0</v>
          </cell>
          <cell r="AP112">
            <v>2</v>
          </cell>
          <cell r="AQ112" t="str">
            <v>A</v>
          </cell>
          <cell r="AR112">
            <v>0</v>
          </cell>
          <cell r="AS112">
            <v>0</v>
          </cell>
          <cell r="AT112" t="str">
            <v>P</v>
          </cell>
          <cell r="AU112">
            <v>0</v>
          </cell>
          <cell r="AV112">
            <v>2</v>
          </cell>
          <cell r="AW112" t="str">
            <v>P</v>
          </cell>
          <cell r="AX112">
            <v>0</v>
          </cell>
          <cell r="AY112">
            <v>2</v>
          </cell>
          <cell r="AZ112" t="str">
            <v>T</v>
          </cell>
          <cell r="BA112">
            <v>0</v>
          </cell>
          <cell r="BB112">
            <v>0</v>
          </cell>
          <cell r="BC112" t="str">
            <v>T</v>
          </cell>
          <cell r="BD112">
            <v>0</v>
          </cell>
          <cell r="BE112">
            <v>0</v>
          </cell>
          <cell r="BF112" t="str">
            <v>T</v>
          </cell>
          <cell r="BG112">
            <v>0</v>
          </cell>
          <cell r="BH112">
            <v>0</v>
          </cell>
          <cell r="BI112" t="str">
            <v>T</v>
          </cell>
          <cell r="BJ112">
            <v>0</v>
          </cell>
          <cell r="BK112">
            <v>0</v>
          </cell>
          <cell r="BL112" t="str">
            <v>T</v>
          </cell>
          <cell r="BM112">
            <v>0</v>
          </cell>
          <cell r="BN112">
            <v>0</v>
          </cell>
          <cell r="BO112" t="str">
            <v>P</v>
          </cell>
          <cell r="BP112">
            <v>0</v>
          </cell>
          <cell r="BQ112">
            <v>2</v>
          </cell>
          <cell r="BR112" t="str">
            <v>P</v>
          </cell>
          <cell r="BS112">
            <v>0</v>
          </cell>
          <cell r="BT112">
            <v>2</v>
          </cell>
          <cell r="BU112" t="str">
            <v>P</v>
          </cell>
          <cell r="BV112">
            <v>0</v>
          </cell>
          <cell r="BW112">
            <v>1.5</v>
          </cell>
          <cell r="BX112" t="str">
            <v>P</v>
          </cell>
          <cell r="BY112">
            <v>0</v>
          </cell>
          <cell r="BZ112">
            <v>2</v>
          </cell>
          <cell r="CA112" t="str">
            <v>S</v>
          </cell>
          <cell r="CB112">
            <v>0</v>
          </cell>
          <cell r="CC112">
            <v>0</v>
          </cell>
          <cell r="CD112" t="str">
            <v>T</v>
          </cell>
          <cell r="CE112">
            <v>0</v>
          </cell>
          <cell r="CF112">
            <v>0</v>
          </cell>
          <cell r="CG112" t="str">
            <v>T</v>
          </cell>
          <cell r="CH112">
            <v>0</v>
          </cell>
          <cell r="CI112">
            <v>0</v>
          </cell>
          <cell r="CJ112" t="str">
            <v>T</v>
          </cell>
          <cell r="CK112">
            <v>0</v>
          </cell>
          <cell r="CL112">
            <v>0</v>
          </cell>
          <cell r="CM112" t="str">
            <v>T</v>
          </cell>
          <cell r="CN112">
            <v>0</v>
          </cell>
          <cell r="CO112">
            <v>0</v>
          </cell>
          <cell r="CP112" t="str">
            <v>T</v>
          </cell>
          <cell r="CQ112">
            <v>0</v>
          </cell>
          <cell r="CR112">
            <v>0</v>
          </cell>
          <cell r="CS112" t="str">
            <v>P</v>
          </cell>
          <cell r="CT112">
            <v>0</v>
          </cell>
          <cell r="CU112">
            <v>3.5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11</v>
          </cell>
          <cell r="DG112">
            <v>0</v>
          </cell>
          <cell r="DH112">
            <v>26.5</v>
          </cell>
          <cell r="DI112">
            <v>2</v>
          </cell>
          <cell r="DJ112">
            <v>0</v>
          </cell>
          <cell r="DK112">
            <v>0</v>
          </cell>
          <cell r="DL112">
            <v>2</v>
          </cell>
          <cell r="DM112">
            <v>11</v>
          </cell>
          <cell r="DN112">
            <v>28</v>
          </cell>
          <cell r="DO112">
            <v>13</v>
          </cell>
          <cell r="DP112">
            <v>0</v>
          </cell>
          <cell r="DQ112">
            <v>0</v>
          </cell>
          <cell r="DR112">
            <v>600</v>
          </cell>
        </row>
        <row r="113">
          <cell r="D113" t="str">
            <v>SHE012</v>
          </cell>
          <cell r="E113" t="str">
            <v>Active</v>
          </cell>
          <cell r="F113" t="str">
            <v>In Direct</v>
          </cell>
          <cell r="G113" t="str">
            <v>VIJAYBHAI HARMANBHAI JADAV</v>
          </cell>
          <cell r="H113" t="str">
            <v>InDirect Labour Wage</v>
          </cell>
          <cell r="I113" t="str">
            <v>EC2521480447-01E</v>
          </cell>
          <cell r="J113" t="str">
            <v>Core Factory</v>
          </cell>
          <cell r="K113" t="str">
            <v>Presspan</v>
          </cell>
          <cell r="L113" t="str">
            <v>PressPan</v>
          </cell>
          <cell r="M113" t="str">
            <v>Operator</v>
          </cell>
          <cell r="N113">
            <v>43973</v>
          </cell>
          <cell r="O113">
            <v>5.7917808219178086</v>
          </cell>
          <cell r="P113" t="str">
            <v>T</v>
          </cell>
          <cell r="Q113">
            <v>0</v>
          </cell>
          <cell r="R113">
            <v>0</v>
          </cell>
          <cell r="S113" t="str">
            <v>T</v>
          </cell>
          <cell r="T113">
            <v>0</v>
          </cell>
          <cell r="U113">
            <v>0</v>
          </cell>
          <cell r="V113" t="str">
            <v>T</v>
          </cell>
          <cell r="W113">
            <v>0</v>
          </cell>
          <cell r="X113">
            <v>0</v>
          </cell>
          <cell r="Y113" t="str">
            <v>T</v>
          </cell>
          <cell r="Z113">
            <v>0</v>
          </cell>
          <cell r="AA113">
            <v>0</v>
          </cell>
          <cell r="AB113" t="str">
            <v>T</v>
          </cell>
          <cell r="AC113">
            <v>0</v>
          </cell>
          <cell r="AD113">
            <v>0</v>
          </cell>
          <cell r="AE113" t="str">
            <v>T</v>
          </cell>
          <cell r="AF113">
            <v>0</v>
          </cell>
          <cell r="AG113">
            <v>0</v>
          </cell>
          <cell r="AH113" t="str">
            <v>A</v>
          </cell>
          <cell r="AI113">
            <v>0</v>
          </cell>
          <cell r="AJ113">
            <v>0</v>
          </cell>
          <cell r="AK113" t="str">
            <v>S</v>
          </cell>
          <cell r="AL113">
            <v>0</v>
          </cell>
          <cell r="AM113">
            <v>0</v>
          </cell>
          <cell r="AN113" t="str">
            <v>T</v>
          </cell>
          <cell r="AO113">
            <v>0</v>
          </cell>
          <cell r="AP113">
            <v>0</v>
          </cell>
          <cell r="AQ113" t="str">
            <v>T</v>
          </cell>
          <cell r="AR113">
            <v>0</v>
          </cell>
          <cell r="AS113">
            <v>0</v>
          </cell>
          <cell r="AT113" t="str">
            <v>T</v>
          </cell>
          <cell r="AU113">
            <v>0</v>
          </cell>
          <cell r="AV113">
            <v>0</v>
          </cell>
          <cell r="AW113" t="str">
            <v>T</v>
          </cell>
          <cell r="AX113">
            <v>0</v>
          </cell>
          <cell r="AY113">
            <v>0</v>
          </cell>
          <cell r="AZ113" t="str">
            <v>T</v>
          </cell>
          <cell r="BA113">
            <v>0</v>
          </cell>
          <cell r="BB113">
            <v>0</v>
          </cell>
          <cell r="BC113" t="str">
            <v>T</v>
          </cell>
          <cell r="BD113">
            <v>0</v>
          </cell>
          <cell r="BE113">
            <v>0</v>
          </cell>
          <cell r="BF113" t="str">
            <v>T</v>
          </cell>
          <cell r="BG113">
            <v>0</v>
          </cell>
          <cell r="BH113">
            <v>0</v>
          </cell>
          <cell r="BI113" t="str">
            <v>T</v>
          </cell>
          <cell r="BJ113">
            <v>0</v>
          </cell>
          <cell r="BK113">
            <v>0</v>
          </cell>
          <cell r="BL113" t="str">
            <v>T</v>
          </cell>
          <cell r="BM113">
            <v>0</v>
          </cell>
          <cell r="BN113">
            <v>0</v>
          </cell>
          <cell r="BO113" t="str">
            <v>T</v>
          </cell>
          <cell r="BP113">
            <v>0</v>
          </cell>
          <cell r="BQ113">
            <v>0</v>
          </cell>
          <cell r="BR113" t="str">
            <v>T</v>
          </cell>
          <cell r="BS113">
            <v>0</v>
          </cell>
          <cell r="BT113">
            <v>0</v>
          </cell>
          <cell r="BU113" t="str">
            <v>A</v>
          </cell>
          <cell r="BV113">
            <v>0</v>
          </cell>
          <cell r="BW113">
            <v>0</v>
          </cell>
          <cell r="BX113" t="str">
            <v>A</v>
          </cell>
          <cell r="BY113">
            <v>0</v>
          </cell>
          <cell r="BZ113">
            <v>0</v>
          </cell>
          <cell r="CA113" t="str">
            <v>T</v>
          </cell>
          <cell r="CB113">
            <v>0</v>
          </cell>
          <cell r="CC113">
            <v>0</v>
          </cell>
          <cell r="CD113" t="str">
            <v>A</v>
          </cell>
          <cell r="CE113">
            <v>0</v>
          </cell>
          <cell r="CF113">
            <v>0</v>
          </cell>
          <cell r="CG113" t="str">
            <v>T</v>
          </cell>
          <cell r="CH113">
            <v>0</v>
          </cell>
          <cell r="CI113">
            <v>0</v>
          </cell>
          <cell r="CJ113" t="str">
            <v>T</v>
          </cell>
          <cell r="CK113">
            <v>0</v>
          </cell>
          <cell r="CL113">
            <v>0</v>
          </cell>
          <cell r="CM113" t="str">
            <v>T</v>
          </cell>
          <cell r="CN113">
            <v>0</v>
          </cell>
          <cell r="CO113">
            <v>0</v>
          </cell>
          <cell r="CP113" t="str">
            <v>T</v>
          </cell>
          <cell r="CQ113">
            <v>0</v>
          </cell>
          <cell r="CR113">
            <v>0</v>
          </cell>
          <cell r="CS113" t="str">
            <v>T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4</v>
          </cell>
          <cell r="DJ113">
            <v>0</v>
          </cell>
          <cell r="DK113">
            <v>0</v>
          </cell>
          <cell r="DL113">
            <v>1</v>
          </cell>
          <cell r="DM113">
            <v>0</v>
          </cell>
          <cell r="DN113">
            <v>28</v>
          </cell>
          <cell r="DO113">
            <v>23</v>
          </cell>
          <cell r="DP113">
            <v>0</v>
          </cell>
          <cell r="DQ113">
            <v>0</v>
          </cell>
          <cell r="DR113">
            <v>0</v>
          </cell>
        </row>
        <row r="114">
          <cell r="D114" t="str">
            <v>SHE031</v>
          </cell>
          <cell r="E114" t="str">
            <v>Active</v>
          </cell>
          <cell r="F114" t="str">
            <v>Direct</v>
          </cell>
          <cell r="G114" t="str">
            <v>MARATHA NANUNATH DAVALNATH</v>
          </cell>
          <cell r="H114" t="str">
            <v>Direct Labour Wage</v>
          </cell>
          <cell r="I114" t="str">
            <v>EC2521480399-01E</v>
          </cell>
          <cell r="J114" t="str">
            <v>Core Factory</v>
          </cell>
          <cell r="K114" t="str">
            <v>Coil Winding</v>
          </cell>
          <cell r="L114" t="str">
            <v>Coil Set</v>
          </cell>
          <cell r="M114" t="str">
            <v>Helper</v>
          </cell>
          <cell r="N114">
            <v>43986</v>
          </cell>
          <cell r="O114">
            <v>5.7561643835616438</v>
          </cell>
          <cell r="P114" t="str">
            <v>S</v>
          </cell>
          <cell r="Q114">
            <v>0</v>
          </cell>
          <cell r="R114">
            <v>5.5</v>
          </cell>
          <cell r="S114" t="str">
            <v>P</v>
          </cell>
          <cell r="T114">
            <v>0</v>
          </cell>
          <cell r="U114">
            <v>2</v>
          </cell>
          <cell r="V114" t="str">
            <v>P</v>
          </cell>
          <cell r="W114">
            <v>0</v>
          </cell>
          <cell r="X114">
            <v>2</v>
          </cell>
          <cell r="Y114" t="str">
            <v>P</v>
          </cell>
          <cell r="Z114">
            <v>0</v>
          </cell>
          <cell r="AA114">
            <v>2</v>
          </cell>
          <cell r="AB114" t="str">
            <v>P</v>
          </cell>
          <cell r="AC114">
            <v>0</v>
          </cell>
          <cell r="AD114">
            <v>2</v>
          </cell>
          <cell r="AE114" t="str">
            <v>P</v>
          </cell>
          <cell r="AF114">
            <v>0</v>
          </cell>
          <cell r="AG114">
            <v>2</v>
          </cell>
          <cell r="AH114" t="str">
            <v>P</v>
          </cell>
          <cell r="AI114">
            <v>0</v>
          </cell>
          <cell r="AJ114">
            <v>2</v>
          </cell>
          <cell r="AK114" t="str">
            <v>S</v>
          </cell>
          <cell r="AL114">
            <v>0</v>
          </cell>
          <cell r="AM114">
            <v>5.5</v>
          </cell>
          <cell r="AN114" t="str">
            <v>P</v>
          </cell>
          <cell r="AO114">
            <v>0</v>
          </cell>
          <cell r="AP114">
            <v>2</v>
          </cell>
          <cell r="AQ114" t="str">
            <v>P</v>
          </cell>
          <cell r="AR114">
            <v>0</v>
          </cell>
          <cell r="AS114">
            <v>2</v>
          </cell>
          <cell r="AT114" t="str">
            <v>P</v>
          </cell>
          <cell r="AU114">
            <v>0</v>
          </cell>
          <cell r="AV114">
            <v>2</v>
          </cell>
          <cell r="AW114" t="str">
            <v>P</v>
          </cell>
          <cell r="AX114">
            <v>0</v>
          </cell>
          <cell r="AY114">
            <v>2</v>
          </cell>
          <cell r="AZ114" t="str">
            <v>P</v>
          </cell>
          <cell r="BA114">
            <v>0</v>
          </cell>
          <cell r="BB114">
            <v>2</v>
          </cell>
          <cell r="BC114" t="str">
            <v>A</v>
          </cell>
          <cell r="BD114">
            <v>0</v>
          </cell>
          <cell r="BE114">
            <v>0</v>
          </cell>
          <cell r="BF114" t="str">
            <v>A</v>
          </cell>
          <cell r="BG114">
            <v>0</v>
          </cell>
          <cell r="BH114">
            <v>0</v>
          </cell>
          <cell r="BI114" t="str">
            <v>A</v>
          </cell>
          <cell r="BJ114">
            <v>0</v>
          </cell>
          <cell r="BK114">
            <v>0</v>
          </cell>
          <cell r="BL114" t="str">
            <v>A</v>
          </cell>
          <cell r="BM114">
            <v>0</v>
          </cell>
          <cell r="BN114">
            <v>0</v>
          </cell>
          <cell r="BO114" t="str">
            <v>A</v>
          </cell>
          <cell r="BP114">
            <v>0</v>
          </cell>
          <cell r="BQ114">
            <v>0</v>
          </cell>
          <cell r="BR114" t="str">
            <v>A</v>
          </cell>
          <cell r="BS114">
            <v>0</v>
          </cell>
          <cell r="BT114">
            <v>0</v>
          </cell>
          <cell r="BU114" t="str">
            <v>A</v>
          </cell>
          <cell r="BV114">
            <v>0</v>
          </cell>
          <cell r="BW114">
            <v>0</v>
          </cell>
          <cell r="BX114" t="str">
            <v>A</v>
          </cell>
          <cell r="BY114">
            <v>0</v>
          </cell>
          <cell r="BZ114">
            <v>0</v>
          </cell>
          <cell r="CA114" t="str">
            <v>S</v>
          </cell>
          <cell r="CB114">
            <v>0</v>
          </cell>
          <cell r="CC114">
            <v>0</v>
          </cell>
          <cell r="CD114" t="str">
            <v>P</v>
          </cell>
          <cell r="CE114">
            <v>0</v>
          </cell>
          <cell r="CF114">
            <v>2</v>
          </cell>
          <cell r="CG114" t="str">
            <v>P</v>
          </cell>
          <cell r="CH114">
            <v>0</v>
          </cell>
          <cell r="CI114">
            <v>2</v>
          </cell>
          <cell r="CJ114" t="str">
            <v>P</v>
          </cell>
          <cell r="CK114">
            <v>0</v>
          </cell>
          <cell r="CL114">
            <v>2</v>
          </cell>
          <cell r="CM114" t="str">
            <v>P</v>
          </cell>
          <cell r="CN114">
            <v>0</v>
          </cell>
          <cell r="CO114">
            <v>2</v>
          </cell>
          <cell r="CP114" t="str">
            <v>P</v>
          </cell>
          <cell r="CQ114">
            <v>0</v>
          </cell>
          <cell r="CR114">
            <v>2</v>
          </cell>
          <cell r="CS114" t="str">
            <v>P</v>
          </cell>
          <cell r="CT114">
            <v>0</v>
          </cell>
          <cell r="CU114">
            <v>2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17</v>
          </cell>
          <cell r="DG114">
            <v>0</v>
          </cell>
          <cell r="DH114">
            <v>45</v>
          </cell>
          <cell r="DI114">
            <v>8</v>
          </cell>
          <cell r="DJ114">
            <v>0</v>
          </cell>
          <cell r="DK114">
            <v>0</v>
          </cell>
          <cell r="DL114">
            <v>3</v>
          </cell>
          <cell r="DM114">
            <v>17</v>
          </cell>
          <cell r="DN114">
            <v>28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</row>
        <row r="115">
          <cell r="D115" t="str">
            <v>SHE141</v>
          </cell>
          <cell r="E115" t="str">
            <v>Active</v>
          </cell>
          <cell r="F115" t="str">
            <v>Direct</v>
          </cell>
          <cell r="G115" t="str">
            <v>ROHIT TUSHARBHAI CHANDUBHAI</v>
          </cell>
          <cell r="H115" t="str">
            <v>Direct Labour Wage</v>
          </cell>
          <cell r="I115" t="str">
            <v>EC2521480385-01E</v>
          </cell>
          <cell r="J115" t="str">
            <v>Core Factory</v>
          </cell>
          <cell r="K115" t="str">
            <v>Core</v>
          </cell>
          <cell r="L115" t="str">
            <v>Core Winding</v>
          </cell>
          <cell r="M115" t="str">
            <v>Operator</v>
          </cell>
          <cell r="N115">
            <v>44321</v>
          </cell>
          <cell r="O115">
            <v>4.838356164383562</v>
          </cell>
          <cell r="P115" t="str">
            <v>S</v>
          </cell>
          <cell r="Q115">
            <v>0</v>
          </cell>
          <cell r="R115">
            <v>0</v>
          </cell>
          <cell r="S115" t="str">
            <v>P</v>
          </cell>
          <cell r="T115">
            <v>0</v>
          </cell>
          <cell r="U115">
            <v>0</v>
          </cell>
          <cell r="V115" t="str">
            <v>P</v>
          </cell>
          <cell r="W115">
            <v>0</v>
          </cell>
          <cell r="X115">
            <v>0</v>
          </cell>
          <cell r="Y115" t="str">
            <v>T</v>
          </cell>
          <cell r="Z115">
            <v>0</v>
          </cell>
          <cell r="AA115">
            <v>0</v>
          </cell>
          <cell r="AB115" t="str">
            <v>T</v>
          </cell>
          <cell r="AC115">
            <v>0</v>
          </cell>
          <cell r="AD115">
            <v>0</v>
          </cell>
          <cell r="AE115" t="str">
            <v>T</v>
          </cell>
          <cell r="AF115">
            <v>0</v>
          </cell>
          <cell r="AG115">
            <v>0</v>
          </cell>
          <cell r="AH115" t="str">
            <v>T</v>
          </cell>
          <cell r="AI115">
            <v>0</v>
          </cell>
          <cell r="AJ115">
            <v>0</v>
          </cell>
          <cell r="AK115" t="str">
            <v>S</v>
          </cell>
          <cell r="AL115">
            <v>0</v>
          </cell>
          <cell r="AM115">
            <v>0</v>
          </cell>
          <cell r="AN115" t="str">
            <v>T</v>
          </cell>
          <cell r="AO115">
            <v>0</v>
          </cell>
          <cell r="AP115">
            <v>0</v>
          </cell>
          <cell r="AQ115" t="str">
            <v>T</v>
          </cell>
          <cell r="AR115">
            <v>0</v>
          </cell>
          <cell r="AS115">
            <v>0</v>
          </cell>
          <cell r="AT115" t="str">
            <v>P</v>
          </cell>
          <cell r="AU115">
            <v>0</v>
          </cell>
          <cell r="AV115">
            <v>0</v>
          </cell>
          <cell r="AW115" t="str">
            <v>T</v>
          </cell>
          <cell r="AX115">
            <v>0</v>
          </cell>
          <cell r="AY115">
            <v>0</v>
          </cell>
          <cell r="AZ115" t="str">
            <v>T</v>
          </cell>
          <cell r="BA115">
            <v>0</v>
          </cell>
          <cell r="BB115">
            <v>0</v>
          </cell>
          <cell r="BC115" t="str">
            <v>T</v>
          </cell>
          <cell r="BD115">
            <v>0</v>
          </cell>
          <cell r="BE115">
            <v>0</v>
          </cell>
          <cell r="BF115" t="str">
            <v>S</v>
          </cell>
          <cell r="BG115">
            <v>0</v>
          </cell>
          <cell r="BH115">
            <v>0</v>
          </cell>
          <cell r="BI115" t="str">
            <v>A</v>
          </cell>
          <cell r="BJ115">
            <v>0</v>
          </cell>
          <cell r="BK115">
            <v>0</v>
          </cell>
          <cell r="BL115" t="str">
            <v>A</v>
          </cell>
          <cell r="BM115">
            <v>0</v>
          </cell>
          <cell r="BN115">
            <v>0</v>
          </cell>
          <cell r="BO115" t="str">
            <v>A</v>
          </cell>
          <cell r="BP115">
            <v>0</v>
          </cell>
          <cell r="BQ115">
            <v>0</v>
          </cell>
          <cell r="BR115" t="str">
            <v>A</v>
          </cell>
          <cell r="BS115">
            <v>0</v>
          </cell>
          <cell r="BT115">
            <v>0</v>
          </cell>
          <cell r="BU115" t="str">
            <v>A</v>
          </cell>
          <cell r="BV115">
            <v>0</v>
          </cell>
          <cell r="BW115">
            <v>0</v>
          </cell>
          <cell r="BX115" t="str">
            <v>A</v>
          </cell>
          <cell r="BY115">
            <v>0</v>
          </cell>
          <cell r="BZ115">
            <v>0</v>
          </cell>
          <cell r="CA115" t="str">
            <v>S</v>
          </cell>
          <cell r="CB115">
            <v>0</v>
          </cell>
          <cell r="CC115">
            <v>0</v>
          </cell>
          <cell r="CD115" t="str">
            <v>T</v>
          </cell>
          <cell r="CE115">
            <v>0</v>
          </cell>
          <cell r="CF115">
            <v>0</v>
          </cell>
          <cell r="CG115" t="str">
            <v>T</v>
          </cell>
          <cell r="CH115">
            <v>0</v>
          </cell>
          <cell r="CI115">
            <v>0</v>
          </cell>
          <cell r="CJ115" t="str">
            <v>T</v>
          </cell>
          <cell r="CK115">
            <v>0</v>
          </cell>
          <cell r="CL115">
            <v>0</v>
          </cell>
          <cell r="CM115" t="str">
            <v>T</v>
          </cell>
          <cell r="CN115">
            <v>0</v>
          </cell>
          <cell r="CO115">
            <v>0</v>
          </cell>
          <cell r="CP115" t="str">
            <v>P</v>
          </cell>
          <cell r="CQ115">
            <v>0</v>
          </cell>
          <cell r="CR115">
            <v>0</v>
          </cell>
          <cell r="CS115" t="str">
            <v>HD</v>
          </cell>
          <cell r="CT115">
            <v>0</v>
          </cell>
          <cell r="CU115">
            <v>1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0.5</v>
          </cell>
          <cell r="DF115">
            <v>4.5</v>
          </cell>
          <cell r="DG115">
            <v>0</v>
          </cell>
          <cell r="DH115">
            <v>1</v>
          </cell>
          <cell r="DI115">
            <v>6.5</v>
          </cell>
          <cell r="DJ115">
            <v>0</v>
          </cell>
          <cell r="DK115">
            <v>0</v>
          </cell>
          <cell r="DL115">
            <v>4</v>
          </cell>
          <cell r="DM115">
            <v>4.5</v>
          </cell>
          <cell r="DN115">
            <v>28</v>
          </cell>
          <cell r="DO115">
            <v>13</v>
          </cell>
          <cell r="DP115">
            <v>0</v>
          </cell>
          <cell r="DQ115">
            <v>0</v>
          </cell>
          <cell r="DR115">
            <v>0</v>
          </cell>
        </row>
        <row r="116">
          <cell r="D116" t="str">
            <v>SHE178</v>
          </cell>
          <cell r="E116" t="str">
            <v>Active</v>
          </cell>
          <cell r="F116" t="str">
            <v>In Direct</v>
          </cell>
          <cell r="G116" t="str">
            <v>PARMAR RAJENDRABHAI DAHYABHAI</v>
          </cell>
          <cell r="H116" t="str">
            <v>InDirect Labour Wage</v>
          </cell>
          <cell r="I116" t="str">
            <v>EC2521480386-01E</v>
          </cell>
          <cell r="J116" t="str">
            <v>Core Factory</v>
          </cell>
          <cell r="K116" t="str">
            <v>Presspan</v>
          </cell>
          <cell r="L116" t="str">
            <v>PressPan</v>
          </cell>
          <cell r="M116" t="str">
            <v>Operator</v>
          </cell>
          <cell r="N116">
            <v>44715</v>
          </cell>
          <cell r="O116">
            <v>3.7589041095890412</v>
          </cell>
          <cell r="P116" t="str">
            <v>S</v>
          </cell>
          <cell r="Q116">
            <v>0</v>
          </cell>
          <cell r="R116">
            <v>0</v>
          </cell>
          <cell r="S116" t="str">
            <v>T</v>
          </cell>
          <cell r="T116">
            <v>0</v>
          </cell>
          <cell r="U116">
            <v>0</v>
          </cell>
          <cell r="V116" t="str">
            <v>T</v>
          </cell>
          <cell r="W116">
            <v>0</v>
          </cell>
          <cell r="X116">
            <v>0</v>
          </cell>
          <cell r="Y116" t="str">
            <v>A</v>
          </cell>
          <cell r="Z116">
            <v>0</v>
          </cell>
          <cell r="AA116">
            <v>0</v>
          </cell>
          <cell r="AB116" t="str">
            <v>T</v>
          </cell>
          <cell r="AC116">
            <v>0</v>
          </cell>
          <cell r="AD116">
            <v>0</v>
          </cell>
          <cell r="AE116" t="str">
            <v>T</v>
          </cell>
          <cell r="AF116">
            <v>0</v>
          </cell>
          <cell r="AG116">
            <v>0</v>
          </cell>
          <cell r="AH116" t="str">
            <v>T</v>
          </cell>
          <cell r="AI116">
            <v>0</v>
          </cell>
          <cell r="AJ116">
            <v>0</v>
          </cell>
          <cell r="AK116" t="str">
            <v>S</v>
          </cell>
          <cell r="AL116">
            <v>0</v>
          </cell>
          <cell r="AM116">
            <v>0</v>
          </cell>
          <cell r="AN116" t="str">
            <v>T</v>
          </cell>
          <cell r="AO116">
            <v>0</v>
          </cell>
          <cell r="AP116">
            <v>0</v>
          </cell>
          <cell r="AQ116" t="str">
            <v>T</v>
          </cell>
          <cell r="AR116">
            <v>0</v>
          </cell>
          <cell r="AS116">
            <v>0</v>
          </cell>
          <cell r="AT116" t="str">
            <v>T</v>
          </cell>
          <cell r="AU116">
            <v>0</v>
          </cell>
          <cell r="AV116">
            <v>0</v>
          </cell>
          <cell r="AW116" t="str">
            <v>T</v>
          </cell>
          <cell r="AX116">
            <v>0</v>
          </cell>
          <cell r="AY116">
            <v>0</v>
          </cell>
          <cell r="AZ116" t="str">
            <v>T</v>
          </cell>
          <cell r="BA116">
            <v>0</v>
          </cell>
          <cell r="BB116">
            <v>0</v>
          </cell>
          <cell r="BC116" t="str">
            <v>T</v>
          </cell>
          <cell r="BD116">
            <v>0</v>
          </cell>
          <cell r="BE116">
            <v>0</v>
          </cell>
          <cell r="BF116" t="str">
            <v>S</v>
          </cell>
          <cell r="BG116">
            <v>0</v>
          </cell>
          <cell r="BH116">
            <v>0</v>
          </cell>
          <cell r="BI116" t="str">
            <v>T</v>
          </cell>
          <cell r="BJ116">
            <v>0</v>
          </cell>
          <cell r="BK116">
            <v>0</v>
          </cell>
          <cell r="BL116" t="str">
            <v>T</v>
          </cell>
          <cell r="BM116">
            <v>0</v>
          </cell>
          <cell r="BN116">
            <v>0</v>
          </cell>
          <cell r="BO116" t="str">
            <v>T</v>
          </cell>
          <cell r="BP116">
            <v>0</v>
          </cell>
          <cell r="BQ116">
            <v>0</v>
          </cell>
          <cell r="BR116" t="str">
            <v>T</v>
          </cell>
          <cell r="BS116">
            <v>0</v>
          </cell>
          <cell r="BT116">
            <v>0</v>
          </cell>
          <cell r="BU116" t="str">
            <v>T</v>
          </cell>
          <cell r="BV116">
            <v>0</v>
          </cell>
          <cell r="BW116">
            <v>0</v>
          </cell>
          <cell r="BX116" t="str">
            <v>T</v>
          </cell>
          <cell r="BY116">
            <v>0</v>
          </cell>
          <cell r="BZ116">
            <v>0</v>
          </cell>
          <cell r="CA116" t="str">
            <v>S</v>
          </cell>
          <cell r="CB116">
            <v>0</v>
          </cell>
          <cell r="CC116">
            <v>0</v>
          </cell>
          <cell r="CD116" t="str">
            <v>T</v>
          </cell>
          <cell r="CE116">
            <v>0</v>
          </cell>
          <cell r="CF116">
            <v>0</v>
          </cell>
          <cell r="CG116" t="str">
            <v>A</v>
          </cell>
          <cell r="CH116">
            <v>0</v>
          </cell>
          <cell r="CI116">
            <v>0</v>
          </cell>
          <cell r="CJ116" t="str">
            <v>T</v>
          </cell>
          <cell r="CK116">
            <v>0</v>
          </cell>
          <cell r="CL116">
            <v>0</v>
          </cell>
          <cell r="CM116" t="str">
            <v>T</v>
          </cell>
          <cell r="CN116">
            <v>0</v>
          </cell>
          <cell r="CO116">
            <v>0</v>
          </cell>
          <cell r="CP116" t="str">
            <v>T</v>
          </cell>
          <cell r="CQ116">
            <v>0</v>
          </cell>
          <cell r="CR116">
            <v>0</v>
          </cell>
          <cell r="CS116" t="str">
            <v>T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2</v>
          </cell>
          <cell r="DJ116">
            <v>0</v>
          </cell>
          <cell r="DK116">
            <v>0</v>
          </cell>
          <cell r="DL116">
            <v>4</v>
          </cell>
          <cell r="DM116">
            <v>0</v>
          </cell>
          <cell r="DN116">
            <v>28</v>
          </cell>
          <cell r="DO116">
            <v>22</v>
          </cell>
          <cell r="DP116">
            <v>0</v>
          </cell>
          <cell r="DQ116">
            <v>0</v>
          </cell>
          <cell r="DR116">
            <v>0</v>
          </cell>
        </row>
        <row r="117">
          <cell r="D117" t="str">
            <v>SHE294</v>
          </cell>
          <cell r="E117" t="str">
            <v>Active</v>
          </cell>
          <cell r="F117" t="str">
            <v>Direct</v>
          </cell>
          <cell r="G117" t="str">
            <v>NIRAJKUMAR CHIMANBHAI JADAV</v>
          </cell>
          <cell r="H117" t="str">
            <v>Direct Labour Wage</v>
          </cell>
          <cell r="I117" t="str">
            <v>EC2521480406-01E</v>
          </cell>
          <cell r="J117" t="str">
            <v>Core Factory</v>
          </cell>
          <cell r="K117" t="str">
            <v>Mu-Metal</v>
          </cell>
          <cell r="L117" t="str">
            <v>Bobin Maker</v>
          </cell>
          <cell r="M117" t="str">
            <v>Helper</v>
          </cell>
          <cell r="N117">
            <v>45231</v>
          </cell>
          <cell r="O117">
            <v>2.3452054794520549</v>
          </cell>
          <cell r="P117" t="str">
            <v>S</v>
          </cell>
          <cell r="Q117">
            <v>0</v>
          </cell>
          <cell r="R117">
            <v>0</v>
          </cell>
          <cell r="S117" t="str">
            <v>P</v>
          </cell>
          <cell r="T117">
            <v>0</v>
          </cell>
          <cell r="U117">
            <v>0</v>
          </cell>
          <cell r="V117" t="str">
            <v>A</v>
          </cell>
          <cell r="W117">
            <v>0</v>
          </cell>
          <cell r="X117">
            <v>0</v>
          </cell>
          <cell r="Y117" t="str">
            <v>A</v>
          </cell>
          <cell r="Z117">
            <v>0</v>
          </cell>
          <cell r="AA117">
            <v>0</v>
          </cell>
          <cell r="AB117" t="str">
            <v>A</v>
          </cell>
          <cell r="AC117">
            <v>0</v>
          </cell>
          <cell r="AD117">
            <v>0</v>
          </cell>
          <cell r="AE117" t="str">
            <v>A</v>
          </cell>
          <cell r="AF117">
            <v>0</v>
          </cell>
          <cell r="AG117">
            <v>0</v>
          </cell>
          <cell r="AH117" t="str">
            <v>A</v>
          </cell>
          <cell r="AI117">
            <v>0</v>
          </cell>
          <cell r="AJ117">
            <v>0</v>
          </cell>
          <cell r="AK117" t="str">
            <v>A</v>
          </cell>
          <cell r="AL117">
            <v>0</v>
          </cell>
          <cell r="AM117">
            <v>0</v>
          </cell>
          <cell r="AN117" t="str">
            <v>A</v>
          </cell>
          <cell r="AO117">
            <v>0</v>
          </cell>
          <cell r="AP117">
            <v>0</v>
          </cell>
          <cell r="AQ117" t="str">
            <v>A</v>
          </cell>
          <cell r="AR117">
            <v>0</v>
          </cell>
          <cell r="AS117">
            <v>0</v>
          </cell>
          <cell r="AT117" t="str">
            <v>A</v>
          </cell>
          <cell r="AU117">
            <v>0</v>
          </cell>
          <cell r="AV117">
            <v>0</v>
          </cell>
          <cell r="AW117" t="str">
            <v>A</v>
          </cell>
          <cell r="AX117">
            <v>0</v>
          </cell>
          <cell r="AY117">
            <v>0</v>
          </cell>
          <cell r="AZ117" t="str">
            <v>A</v>
          </cell>
          <cell r="BA117">
            <v>0</v>
          </cell>
          <cell r="BB117">
            <v>0</v>
          </cell>
          <cell r="BC117" t="str">
            <v>A</v>
          </cell>
          <cell r="BD117">
            <v>0</v>
          </cell>
          <cell r="BE117">
            <v>0</v>
          </cell>
          <cell r="BF117" t="str">
            <v>A</v>
          </cell>
          <cell r="BG117">
            <v>0</v>
          </cell>
          <cell r="BH117">
            <v>0</v>
          </cell>
          <cell r="BI117" t="str">
            <v>A</v>
          </cell>
          <cell r="BJ117">
            <v>0</v>
          </cell>
          <cell r="BK117">
            <v>0</v>
          </cell>
          <cell r="BL117" t="str">
            <v>A</v>
          </cell>
          <cell r="BM117">
            <v>0</v>
          </cell>
          <cell r="BN117">
            <v>0</v>
          </cell>
          <cell r="BO117" t="str">
            <v>A</v>
          </cell>
          <cell r="BP117">
            <v>0</v>
          </cell>
          <cell r="BQ117">
            <v>0</v>
          </cell>
          <cell r="BR117" t="str">
            <v>A</v>
          </cell>
          <cell r="BS117">
            <v>0</v>
          </cell>
          <cell r="BT117">
            <v>0</v>
          </cell>
          <cell r="BU117" t="str">
            <v>A</v>
          </cell>
          <cell r="BV117">
            <v>0</v>
          </cell>
          <cell r="BW117">
            <v>0</v>
          </cell>
          <cell r="BX117" t="str">
            <v>A</v>
          </cell>
          <cell r="BY117">
            <v>0</v>
          </cell>
          <cell r="BZ117">
            <v>0</v>
          </cell>
          <cell r="CA117" t="str">
            <v>A</v>
          </cell>
          <cell r="CB117">
            <v>0</v>
          </cell>
          <cell r="CC117">
            <v>0</v>
          </cell>
          <cell r="CD117" t="str">
            <v>A</v>
          </cell>
          <cell r="CE117">
            <v>0</v>
          </cell>
          <cell r="CF117">
            <v>0</v>
          </cell>
          <cell r="CG117" t="str">
            <v>A</v>
          </cell>
          <cell r="CH117">
            <v>0</v>
          </cell>
          <cell r="CI117">
            <v>0</v>
          </cell>
          <cell r="CJ117" t="str">
            <v>A</v>
          </cell>
          <cell r="CK117">
            <v>0</v>
          </cell>
          <cell r="CL117">
            <v>0</v>
          </cell>
          <cell r="CM117" t="str">
            <v>A</v>
          </cell>
          <cell r="CN117">
            <v>0</v>
          </cell>
          <cell r="CO117">
            <v>0</v>
          </cell>
          <cell r="CP117" t="str">
            <v>A</v>
          </cell>
          <cell r="CQ117">
            <v>0</v>
          </cell>
          <cell r="CR117">
            <v>0</v>
          </cell>
          <cell r="CS117" t="str">
            <v>A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1</v>
          </cell>
          <cell r="DG117">
            <v>0</v>
          </cell>
          <cell r="DH117">
            <v>0</v>
          </cell>
          <cell r="DI117">
            <v>26</v>
          </cell>
          <cell r="DJ117">
            <v>0</v>
          </cell>
          <cell r="DK117">
            <v>0</v>
          </cell>
          <cell r="DL117">
            <v>1</v>
          </cell>
          <cell r="DM117">
            <v>1</v>
          </cell>
          <cell r="DN117">
            <v>28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</row>
        <row r="118">
          <cell r="D118" t="str">
            <v>SHE320</v>
          </cell>
          <cell r="E118" t="str">
            <v>Active</v>
          </cell>
          <cell r="F118" t="str">
            <v>Direct</v>
          </cell>
          <cell r="G118" t="str">
            <v>Sagarbhai Pareshbhai Rathodiya</v>
          </cell>
          <cell r="H118" t="str">
            <v>Direct Labour Wage</v>
          </cell>
          <cell r="I118" t="str">
            <v>EC2521480454-01E</v>
          </cell>
          <cell r="J118" t="str">
            <v>Core Factory</v>
          </cell>
          <cell r="K118" t="str">
            <v>Mu-Metal</v>
          </cell>
          <cell r="L118" t="str">
            <v>Bobin Maker</v>
          </cell>
          <cell r="M118" t="str">
            <v>Operator</v>
          </cell>
          <cell r="N118">
            <v>45342</v>
          </cell>
          <cell r="O118">
            <v>2.0410958904109591</v>
          </cell>
          <cell r="P118" t="str">
            <v>S</v>
          </cell>
          <cell r="Q118">
            <v>0</v>
          </cell>
          <cell r="R118">
            <v>0</v>
          </cell>
          <cell r="S118" t="str">
            <v>P</v>
          </cell>
          <cell r="T118">
            <v>0</v>
          </cell>
          <cell r="U118">
            <v>0</v>
          </cell>
          <cell r="V118" t="str">
            <v>P</v>
          </cell>
          <cell r="W118">
            <v>0</v>
          </cell>
          <cell r="X118">
            <v>0</v>
          </cell>
          <cell r="Y118" t="str">
            <v>A</v>
          </cell>
          <cell r="Z118">
            <v>0</v>
          </cell>
          <cell r="AA118">
            <v>0</v>
          </cell>
          <cell r="AB118" t="str">
            <v>A</v>
          </cell>
          <cell r="AC118">
            <v>0</v>
          </cell>
          <cell r="AD118">
            <v>0</v>
          </cell>
          <cell r="AE118" t="str">
            <v>P</v>
          </cell>
          <cell r="AF118">
            <v>0</v>
          </cell>
          <cell r="AG118">
            <v>0</v>
          </cell>
          <cell r="AH118" t="str">
            <v>P</v>
          </cell>
          <cell r="AI118">
            <v>0</v>
          </cell>
          <cell r="AJ118">
            <v>0</v>
          </cell>
          <cell r="AK118" t="str">
            <v>S</v>
          </cell>
          <cell r="AL118">
            <v>0</v>
          </cell>
          <cell r="AM118">
            <v>0</v>
          </cell>
          <cell r="AN118" t="str">
            <v>P</v>
          </cell>
          <cell r="AO118">
            <v>0</v>
          </cell>
          <cell r="AP118">
            <v>0</v>
          </cell>
          <cell r="AQ118" t="str">
            <v>P</v>
          </cell>
          <cell r="AR118">
            <v>0</v>
          </cell>
          <cell r="AS118">
            <v>0</v>
          </cell>
          <cell r="AT118" t="str">
            <v>P</v>
          </cell>
          <cell r="AU118">
            <v>0</v>
          </cell>
          <cell r="AV118">
            <v>0</v>
          </cell>
          <cell r="AW118" t="str">
            <v>P</v>
          </cell>
          <cell r="AX118">
            <v>0</v>
          </cell>
          <cell r="AY118">
            <v>0</v>
          </cell>
          <cell r="AZ118" t="str">
            <v>HD</v>
          </cell>
          <cell r="BA118">
            <v>0</v>
          </cell>
          <cell r="BB118">
            <v>0</v>
          </cell>
          <cell r="BC118" t="str">
            <v>P</v>
          </cell>
          <cell r="BD118">
            <v>0</v>
          </cell>
          <cell r="BE118">
            <v>0</v>
          </cell>
          <cell r="BF118" t="str">
            <v>S</v>
          </cell>
          <cell r="BG118">
            <v>0</v>
          </cell>
          <cell r="BH118">
            <v>0</v>
          </cell>
          <cell r="BI118" t="str">
            <v>A</v>
          </cell>
          <cell r="BJ118">
            <v>0</v>
          </cell>
          <cell r="BK118">
            <v>0</v>
          </cell>
          <cell r="BL118" t="str">
            <v>A</v>
          </cell>
          <cell r="BM118">
            <v>0</v>
          </cell>
          <cell r="BN118">
            <v>0</v>
          </cell>
          <cell r="BO118" t="str">
            <v>P</v>
          </cell>
          <cell r="BP118">
            <v>0</v>
          </cell>
          <cell r="BQ118">
            <v>0</v>
          </cell>
          <cell r="BR118" t="str">
            <v>P</v>
          </cell>
          <cell r="BS118">
            <v>0</v>
          </cell>
          <cell r="BT118">
            <v>0</v>
          </cell>
          <cell r="BU118" t="str">
            <v>P</v>
          </cell>
          <cell r="BV118">
            <v>0</v>
          </cell>
          <cell r="BW118">
            <v>0</v>
          </cell>
          <cell r="BX118" t="str">
            <v>P</v>
          </cell>
          <cell r="BY118">
            <v>0</v>
          </cell>
          <cell r="BZ118">
            <v>0</v>
          </cell>
          <cell r="CA118" t="str">
            <v>S</v>
          </cell>
          <cell r="CB118">
            <v>0</v>
          </cell>
          <cell r="CC118">
            <v>0</v>
          </cell>
          <cell r="CD118" t="str">
            <v>P</v>
          </cell>
          <cell r="CE118">
            <v>0</v>
          </cell>
          <cell r="CF118">
            <v>0</v>
          </cell>
          <cell r="CG118" t="str">
            <v>P</v>
          </cell>
          <cell r="CH118">
            <v>0</v>
          </cell>
          <cell r="CI118">
            <v>0</v>
          </cell>
          <cell r="CJ118" t="str">
            <v>P</v>
          </cell>
          <cell r="CK118">
            <v>0</v>
          </cell>
          <cell r="CL118">
            <v>0</v>
          </cell>
          <cell r="CM118" t="str">
            <v>P</v>
          </cell>
          <cell r="CN118">
            <v>0</v>
          </cell>
          <cell r="CO118">
            <v>0</v>
          </cell>
          <cell r="CP118" t="str">
            <v>P</v>
          </cell>
          <cell r="CQ118">
            <v>0</v>
          </cell>
          <cell r="CR118">
            <v>0</v>
          </cell>
          <cell r="CS118" t="str">
            <v>P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0.5</v>
          </cell>
          <cell r="DF118">
            <v>19.5</v>
          </cell>
          <cell r="DG118">
            <v>0</v>
          </cell>
          <cell r="DH118">
            <v>0</v>
          </cell>
          <cell r="DI118">
            <v>4.5</v>
          </cell>
          <cell r="DJ118">
            <v>0</v>
          </cell>
          <cell r="DK118">
            <v>0</v>
          </cell>
          <cell r="DL118">
            <v>4</v>
          </cell>
          <cell r="DM118">
            <v>19.5</v>
          </cell>
          <cell r="DN118">
            <v>28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</row>
        <row r="119">
          <cell r="D119" t="str">
            <v>SHE328</v>
          </cell>
          <cell r="E119" t="str">
            <v>Active</v>
          </cell>
          <cell r="F119" t="str">
            <v>Direct</v>
          </cell>
          <cell r="G119" t="str">
            <v>Vasava Arjun Kalidas</v>
          </cell>
          <cell r="H119" t="str">
            <v>Direct Labour Wage</v>
          </cell>
          <cell r="I119" t="str">
            <v>EC2521480429-01E</v>
          </cell>
          <cell r="J119" t="str">
            <v>Core Factory</v>
          </cell>
          <cell r="K119" t="str">
            <v>Coil Winding</v>
          </cell>
          <cell r="L119" t="str">
            <v>Hand Winding</v>
          </cell>
          <cell r="M119" t="str">
            <v>Operator</v>
          </cell>
          <cell r="N119">
            <v>45370</v>
          </cell>
          <cell r="O119">
            <v>1.9643835616438357</v>
          </cell>
          <cell r="P119" t="str">
            <v>S</v>
          </cell>
          <cell r="Q119">
            <v>0</v>
          </cell>
          <cell r="R119">
            <v>0</v>
          </cell>
          <cell r="S119" t="str">
            <v>P</v>
          </cell>
          <cell r="T119">
            <v>0</v>
          </cell>
          <cell r="U119">
            <v>2</v>
          </cell>
          <cell r="V119" t="str">
            <v>P</v>
          </cell>
          <cell r="W119">
            <v>0</v>
          </cell>
          <cell r="X119">
            <v>0</v>
          </cell>
          <cell r="Y119" t="str">
            <v>P</v>
          </cell>
          <cell r="Z119">
            <v>0</v>
          </cell>
          <cell r="AA119">
            <v>2</v>
          </cell>
          <cell r="AB119" t="str">
            <v>A</v>
          </cell>
          <cell r="AC119">
            <v>0</v>
          </cell>
          <cell r="AD119">
            <v>0</v>
          </cell>
          <cell r="AE119" t="str">
            <v>P</v>
          </cell>
          <cell r="AF119">
            <v>0</v>
          </cell>
          <cell r="AG119">
            <v>2</v>
          </cell>
          <cell r="AH119" t="str">
            <v>P</v>
          </cell>
          <cell r="AI119">
            <v>0</v>
          </cell>
          <cell r="AJ119">
            <v>2</v>
          </cell>
          <cell r="AK119" t="str">
            <v>S</v>
          </cell>
          <cell r="AL119">
            <v>0</v>
          </cell>
          <cell r="AM119">
            <v>0</v>
          </cell>
          <cell r="AN119" t="str">
            <v>P</v>
          </cell>
          <cell r="AO119">
            <v>0</v>
          </cell>
          <cell r="AP119">
            <v>2</v>
          </cell>
          <cell r="AQ119" t="str">
            <v>P</v>
          </cell>
          <cell r="AR119">
            <v>0</v>
          </cell>
          <cell r="AS119">
            <v>2</v>
          </cell>
          <cell r="AT119" t="str">
            <v>P</v>
          </cell>
          <cell r="AU119">
            <v>0</v>
          </cell>
          <cell r="AV119">
            <v>2</v>
          </cell>
          <cell r="AW119" t="str">
            <v>P</v>
          </cell>
          <cell r="AX119">
            <v>0</v>
          </cell>
          <cell r="AY119">
            <v>2</v>
          </cell>
          <cell r="AZ119" t="str">
            <v>HD</v>
          </cell>
          <cell r="BA119">
            <v>0</v>
          </cell>
          <cell r="BB119">
            <v>0</v>
          </cell>
          <cell r="BC119" t="str">
            <v>A</v>
          </cell>
          <cell r="BD119">
            <v>0</v>
          </cell>
          <cell r="BE119">
            <v>0</v>
          </cell>
          <cell r="BF119" t="str">
            <v>S</v>
          </cell>
          <cell r="BG119">
            <v>0</v>
          </cell>
          <cell r="BH119">
            <v>0</v>
          </cell>
          <cell r="BI119" t="str">
            <v>P</v>
          </cell>
          <cell r="BJ119">
            <v>0</v>
          </cell>
          <cell r="BK119">
            <v>2</v>
          </cell>
          <cell r="BL119" t="str">
            <v>P</v>
          </cell>
          <cell r="BM119">
            <v>0</v>
          </cell>
          <cell r="BN119">
            <v>2</v>
          </cell>
          <cell r="BO119" t="str">
            <v>P</v>
          </cell>
          <cell r="BP119">
            <v>0</v>
          </cell>
          <cell r="BQ119">
            <v>2</v>
          </cell>
          <cell r="BR119" t="str">
            <v>P</v>
          </cell>
          <cell r="BS119">
            <v>0</v>
          </cell>
          <cell r="BT119">
            <v>2</v>
          </cell>
          <cell r="BU119" t="str">
            <v>P</v>
          </cell>
          <cell r="BV119">
            <v>0</v>
          </cell>
          <cell r="BW119">
            <v>1.5</v>
          </cell>
          <cell r="BX119" t="str">
            <v>P</v>
          </cell>
          <cell r="BY119">
            <v>0</v>
          </cell>
          <cell r="BZ119">
            <v>2</v>
          </cell>
          <cell r="CA119" t="str">
            <v>S</v>
          </cell>
          <cell r="CB119">
            <v>0</v>
          </cell>
          <cell r="CC119">
            <v>0</v>
          </cell>
          <cell r="CD119" t="str">
            <v>P</v>
          </cell>
          <cell r="CE119">
            <v>0</v>
          </cell>
          <cell r="CF119">
            <v>0</v>
          </cell>
          <cell r="CG119" t="str">
            <v>P</v>
          </cell>
          <cell r="CH119">
            <v>0</v>
          </cell>
          <cell r="CI119">
            <v>2</v>
          </cell>
          <cell r="CJ119" t="str">
            <v>P</v>
          </cell>
          <cell r="CK119">
            <v>0</v>
          </cell>
          <cell r="CL119">
            <v>1.5</v>
          </cell>
          <cell r="CM119" t="str">
            <v>P</v>
          </cell>
          <cell r="CN119">
            <v>0</v>
          </cell>
          <cell r="CO119">
            <v>2</v>
          </cell>
          <cell r="CP119" t="str">
            <v>P</v>
          </cell>
          <cell r="CQ119">
            <v>0</v>
          </cell>
          <cell r="CR119">
            <v>0</v>
          </cell>
          <cell r="CS119" t="str">
            <v>P</v>
          </cell>
          <cell r="CT119">
            <v>0</v>
          </cell>
          <cell r="CU119">
            <v>2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0.5</v>
          </cell>
          <cell r="DF119">
            <v>21.5</v>
          </cell>
          <cell r="DG119">
            <v>0</v>
          </cell>
          <cell r="DH119">
            <v>35</v>
          </cell>
          <cell r="DI119">
            <v>2.5</v>
          </cell>
          <cell r="DJ119">
            <v>0</v>
          </cell>
          <cell r="DK119">
            <v>0</v>
          </cell>
          <cell r="DL119">
            <v>4</v>
          </cell>
          <cell r="DM119">
            <v>21.5</v>
          </cell>
          <cell r="DN119">
            <v>28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</row>
        <row r="120">
          <cell r="D120" t="str">
            <v>SHE198</v>
          </cell>
          <cell r="E120" t="str">
            <v>Active</v>
          </cell>
          <cell r="F120" t="str">
            <v>Direct</v>
          </cell>
          <cell r="G120" t="str">
            <v>RAVAL DAXSESHBHAI BHAILALBHAI</v>
          </cell>
          <cell r="H120" t="str">
            <v>Direct Labour Wage</v>
          </cell>
          <cell r="I120">
            <v>0</v>
          </cell>
          <cell r="J120" t="str">
            <v>Core Factory</v>
          </cell>
          <cell r="K120" t="str">
            <v>Core</v>
          </cell>
          <cell r="L120" t="str">
            <v>Core Winding</v>
          </cell>
          <cell r="M120" t="str">
            <v>Operator</v>
          </cell>
          <cell r="N120">
            <v>45811</v>
          </cell>
          <cell r="O120">
            <v>0.75616438356164384</v>
          </cell>
          <cell r="P120" t="str">
            <v>S</v>
          </cell>
          <cell r="Q120">
            <v>0</v>
          </cell>
          <cell r="R120">
            <v>0</v>
          </cell>
          <cell r="S120" t="str">
            <v>P</v>
          </cell>
          <cell r="T120">
            <v>0</v>
          </cell>
          <cell r="U120">
            <v>0</v>
          </cell>
          <cell r="V120" t="str">
            <v>P</v>
          </cell>
          <cell r="W120">
            <v>0</v>
          </cell>
          <cell r="X120">
            <v>0</v>
          </cell>
          <cell r="Y120" t="str">
            <v>HD</v>
          </cell>
          <cell r="Z120">
            <v>0</v>
          </cell>
          <cell r="AA120">
            <v>0</v>
          </cell>
          <cell r="AB120" t="str">
            <v>P</v>
          </cell>
          <cell r="AC120">
            <v>0</v>
          </cell>
          <cell r="AD120">
            <v>0</v>
          </cell>
          <cell r="AE120" t="str">
            <v>P</v>
          </cell>
          <cell r="AF120">
            <v>0</v>
          </cell>
          <cell r="AG120">
            <v>0</v>
          </cell>
          <cell r="AH120" t="str">
            <v>P</v>
          </cell>
          <cell r="AI120">
            <v>0</v>
          </cell>
          <cell r="AJ120">
            <v>0</v>
          </cell>
          <cell r="AK120" t="str">
            <v>S</v>
          </cell>
          <cell r="AL120">
            <v>0</v>
          </cell>
          <cell r="AM120">
            <v>0</v>
          </cell>
          <cell r="AN120" t="str">
            <v>P</v>
          </cell>
          <cell r="AO120">
            <v>0</v>
          </cell>
          <cell r="AP120">
            <v>0</v>
          </cell>
          <cell r="AQ120" t="str">
            <v>P</v>
          </cell>
          <cell r="AR120">
            <v>0</v>
          </cell>
          <cell r="AS120">
            <v>0</v>
          </cell>
          <cell r="AT120" t="str">
            <v>A</v>
          </cell>
          <cell r="AU120">
            <v>0</v>
          </cell>
          <cell r="AV120">
            <v>0</v>
          </cell>
          <cell r="AW120" t="str">
            <v>A</v>
          </cell>
          <cell r="AX120">
            <v>0</v>
          </cell>
          <cell r="AY120">
            <v>0</v>
          </cell>
          <cell r="AZ120" t="str">
            <v>A</v>
          </cell>
          <cell r="BA120">
            <v>0</v>
          </cell>
          <cell r="BB120">
            <v>0</v>
          </cell>
          <cell r="BC120" t="str">
            <v>P</v>
          </cell>
          <cell r="BD120">
            <v>0</v>
          </cell>
          <cell r="BE120">
            <v>0</v>
          </cell>
          <cell r="BF120" t="str">
            <v>S</v>
          </cell>
          <cell r="BG120">
            <v>0</v>
          </cell>
          <cell r="BH120">
            <v>0</v>
          </cell>
          <cell r="BI120" t="str">
            <v>P</v>
          </cell>
          <cell r="BJ120">
            <v>0</v>
          </cell>
          <cell r="BK120">
            <v>0</v>
          </cell>
          <cell r="BL120" t="str">
            <v>P</v>
          </cell>
          <cell r="BM120">
            <v>0</v>
          </cell>
          <cell r="BN120">
            <v>0</v>
          </cell>
          <cell r="BO120" t="str">
            <v>P</v>
          </cell>
          <cell r="BP120">
            <v>0</v>
          </cell>
          <cell r="BQ120">
            <v>0</v>
          </cell>
          <cell r="BR120" t="str">
            <v>P</v>
          </cell>
          <cell r="BS120">
            <v>0</v>
          </cell>
          <cell r="BT120">
            <v>0</v>
          </cell>
          <cell r="BU120" t="str">
            <v>P</v>
          </cell>
          <cell r="BV120">
            <v>0</v>
          </cell>
          <cell r="BW120">
            <v>0</v>
          </cell>
          <cell r="BX120" t="str">
            <v>P</v>
          </cell>
          <cell r="BY120">
            <v>0</v>
          </cell>
          <cell r="BZ120">
            <v>0</v>
          </cell>
          <cell r="CA120" t="str">
            <v>S</v>
          </cell>
          <cell r="CB120">
            <v>0</v>
          </cell>
          <cell r="CC120">
            <v>0</v>
          </cell>
          <cell r="CD120" t="str">
            <v>P</v>
          </cell>
          <cell r="CE120">
            <v>0</v>
          </cell>
          <cell r="CF120">
            <v>0</v>
          </cell>
          <cell r="CG120" t="str">
            <v>A</v>
          </cell>
          <cell r="CH120">
            <v>0</v>
          </cell>
          <cell r="CI120">
            <v>0</v>
          </cell>
          <cell r="CJ120" t="str">
            <v>P</v>
          </cell>
          <cell r="CK120">
            <v>0</v>
          </cell>
          <cell r="CL120">
            <v>0</v>
          </cell>
          <cell r="CM120" t="str">
            <v>P</v>
          </cell>
          <cell r="CN120">
            <v>0</v>
          </cell>
          <cell r="CO120">
            <v>0</v>
          </cell>
          <cell r="CP120" t="str">
            <v>P</v>
          </cell>
          <cell r="CQ120">
            <v>0</v>
          </cell>
          <cell r="CR120">
            <v>0</v>
          </cell>
          <cell r="CS120" t="str">
            <v>P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0.5</v>
          </cell>
          <cell r="DF120">
            <v>19.5</v>
          </cell>
          <cell r="DG120">
            <v>0</v>
          </cell>
          <cell r="DH120">
            <v>0</v>
          </cell>
          <cell r="DI120">
            <v>4.5</v>
          </cell>
          <cell r="DJ120">
            <v>0</v>
          </cell>
          <cell r="DK120">
            <v>0</v>
          </cell>
          <cell r="DL120">
            <v>4</v>
          </cell>
          <cell r="DM120">
            <v>19.5</v>
          </cell>
          <cell r="DN120">
            <v>28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</row>
        <row r="121">
          <cell r="D121" t="str">
            <v>SHE355</v>
          </cell>
          <cell r="E121">
            <v>0</v>
          </cell>
          <cell r="F121" t="str">
            <v>Direct</v>
          </cell>
          <cell r="G121" t="str">
            <v>Ramchand Tej Bahadur</v>
          </cell>
          <cell r="H121" t="str">
            <v>Direct Labour Wage</v>
          </cell>
          <cell r="I121">
            <v>0</v>
          </cell>
          <cell r="J121" t="str">
            <v>Core Factory</v>
          </cell>
          <cell r="K121" t="str">
            <v>Coil Winding</v>
          </cell>
          <cell r="L121" t="str">
            <v>Polyster Machine</v>
          </cell>
          <cell r="M121" t="str">
            <v>Helper</v>
          </cell>
          <cell r="N121">
            <v>45933</v>
          </cell>
          <cell r="O121">
            <v>0.42191780821917807</v>
          </cell>
          <cell r="P121" t="str">
            <v>S</v>
          </cell>
          <cell r="Q121">
            <v>0</v>
          </cell>
          <cell r="R121">
            <v>0</v>
          </cell>
          <cell r="S121" t="str">
            <v>P</v>
          </cell>
          <cell r="T121">
            <v>0</v>
          </cell>
          <cell r="U121">
            <v>2</v>
          </cell>
          <cell r="V121" t="str">
            <v>P</v>
          </cell>
          <cell r="W121">
            <v>0</v>
          </cell>
          <cell r="X121">
            <v>2</v>
          </cell>
          <cell r="Y121" t="str">
            <v>P</v>
          </cell>
          <cell r="Z121">
            <v>0</v>
          </cell>
          <cell r="AA121">
            <v>2</v>
          </cell>
          <cell r="AB121" t="str">
            <v>P</v>
          </cell>
          <cell r="AC121">
            <v>0</v>
          </cell>
          <cell r="AD121">
            <v>2</v>
          </cell>
          <cell r="AE121" t="str">
            <v>P</v>
          </cell>
          <cell r="AF121">
            <v>0</v>
          </cell>
          <cell r="AG121">
            <v>2</v>
          </cell>
          <cell r="AH121" t="str">
            <v>P</v>
          </cell>
          <cell r="AI121">
            <v>0</v>
          </cell>
          <cell r="AJ121">
            <v>2</v>
          </cell>
          <cell r="AK121" t="str">
            <v>S</v>
          </cell>
          <cell r="AL121">
            <v>0</v>
          </cell>
          <cell r="AM121">
            <v>0</v>
          </cell>
          <cell r="AN121" t="str">
            <v>A</v>
          </cell>
          <cell r="AO121">
            <v>0</v>
          </cell>
          <cell r="AP121">
            <v>0</v>
          </cell>
          <cell r="AQ121" t="str">
            <v>P</v>
          </cell>
          <cell r="AR121">
            <v>0</v>
          </cell>
          <cell r="AS121">
            <v>2</v>
          </cell>
          <cell r="AT121" t="str">
            <v>P</v>
          </cell>
          <cell r="AU121">
            <v>0</v>
          </cell>
          <cell r="AV121">
            <v>2</v>
          </cell>
          <cell r="AW121" t="str">
            <v>P</v>
          </cell>
          <cell r="AX121">
            <v>0</v>
          </cell>
          <cell r="AY121">
            <v>2</v>
          </cell>
          <cell r="AZ121" t="str">
            <v>P</v>
          </cell>
          <cell r="BA121">
            <v>0</v>
          </cell>
          <cell r="BB121">
            <v>2</v>
          </cell>
          <cell r="BC121" t="str">
            <v>P</v>
          </cell>
          <cell r="BD121">
            <v>0</v>
          </cell>
          <cell r="BE121">
            <v>2</v>
          </cell>
          <cell r="BF121" t="str">
            <v>S</v>
          </cell>
          <cell r="BG121">
            <v>0</v>
          </cell>
          <cell r="BH121">
            <v>0</v>
          </cell>
          <cell r="BI121" t="str">
            <v>P</v>
          </cell>
          <cell r="BJ121">
            <v>0</v>
          </cell>
          <cell r="BK121">
            <v>2</v>
          </cell>
          <cell r="BL121" t="str">
            <v>P</v>
          </cell>
          <cell r="BM121">
            <v>0</v>
          </cell>
          <cell r="BN121">
            <v>2</v>
          </cell>
          <cell r="BO121" t="str">
            <v>P</v>
          </cell>
          <cell r="BP121">
            <v>0</v>
          </cell>
          <cell r="BQ121">
            <v>2</v>
          </cell>
          <cell r="BR121" t="str">
            <v>P</v>
          </cell>
          <cell r="BS121">
            <v>0</v>
          </cell>
          <cell r="BT121">
            <v>2</v>
          </cell>
          <cell r="BU121" t="str">
            <v>P</v>
          </cell>
          <cell r="BV121">
            <v>0</v>
          </cell>
          <cell r="BW121">
            <v>2</v>
          </cell>
          <cell r="BX121" t="str">
            <v>P</v>
          </cell>
          <cell r="BY121">
            <v>0</v>
          </cell>
          <cell r="BZ121">
            <v>2</v>
          </cell>
          <cell r="CA121" t="str">
            <v>S</v>
          </cell>
          <cell r="CB121">
            <v>0</v>
          </cell>
          <cell r="CC121">
            <v>0</v>
          </cell>
          <cell r="CD121" t="str">
            <v>P</v>
          </cell>
          <cell r="CE121">
            <v>0</v>
          </cell>
          <cell r="CF121">
            <v>2</v>
          </cell>
          <cell r="CG121" t="str">
            <v>A</v>
          </cell>
          <cell r="CH121">
            <v>0</v>
          </cell>
          <cell r="CI121">
            <v>0</v>
          </cell>
          <cell r="CJ121" t="str">
            <v>P</v>
          </cell>
          <cell r="CK121">
            <v>0</v>
          </cell>
          <cell r="CL121">
            <v>2</v>
          </cell>
          <cell r="CM121" t="str">
            <v>P</v>
          </cell>
          <cell r="CN121">
            <v>0</v>
          </cell>
          <cell r="CO121">
            <v>2</v>
          </cell>
          <cell r="CP121" t="str">
            <v>P</v>
          </cell>
          <cell r="CQ121">
            <v>0</v>
          </cell>
          <cell r="CR121">
            <v>2</v>
          </cell>
          <cell r="CS121" t="str">
            <v>P</v>
          </cell>
          <cell r="CT121">
            <v>0</v>
          </cell>
          <cell r="CU121">
            <v>2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22</v>
          </cell>
          <cell r="DG121">
            <v>0</v>
          </cell>
          <cell r="DH121">
            <v>44</v>
          </cell>
          <cell r="DI121">
            <v>2</v>
          </cell>
          <cell r="DJ121">
            <v>0</v>
          </cell>
          <cell r="DK121">
            <v>0</v>
          </cell>
          <cell r="DL121">
            <v>4</v>
          </cell>
          <cell r="DM121">
            <v>22</v>
          </cell>
          <cell r="DN121">
            <v>28</v>
          </cell>
          <cell r="DO121">
            <v>0</v>
          </cell>
          <cell r="DP121">
            <v>0</v>
          </cell>
          <cell r="DQ121">
            <v>0</v>
          </cell>
          <cell r="DR121">
            <v>500</v>
          </cell>
        </row>
        <row r="122">
          <cell r="D122" t="str">
            <v>CFCP0839</v>
          </cell>
          <cell r="E122">
            <v>0</v>
          </cell>
          <cell r="F122" t="str">
            <v>Direct</v>
          </cell>
          <cell r="G122" t="str">
            <v>Ritik Sanjay</v>
          </cell>
          <cell r="H122" t="str">
            <v>Direct Labour Wage</v>
          </cell>
          <cell r="I122">
            <v>0</v>
          </cell>
          <cell r="J122" t="str">
            <v>Core Factory</v>
          </cell>
          <cell r="K122" t="str">
            <v>Coil Winding</v>
          </cell>
          <cell r="L122" t="str">
            <v>Hand Winding</v>
          </cell>
          <cell r="M122" t="str">
            <v>Operator</v>
          </cell>
          <cell r="N122">
            <v>45010</v>
          </cell>
          <cell r="O122">
            <v>2.9506849315068493</v>
          </cell>
          <cell r="P122" t="str">
            <v>S</v>
          </cell>
          <cell r="Q122">
            <v>0</v>
          </cell>
          <cell r="R122">
            <v>5.5</v>
          </cell>
          <cell r="S122" t="str">
            <v>P</v>
          </cell>
          <cell r="T122">
            <v>0</v>
          </cell>
          <cell r="U122">
            <v>2</v>
          </cell>
          <cell r="V122" t="str">
            <v>P</v>
          </cell>
          <cell r="W122">
            <v>0</v>
          </cell>
          <cell r="X122">
            <v>2</v>
          </cell>
          <cell r="Y122" t="str">
            <v>P</v>
          </cell>
          <cell r="Z122">
            <v>0</v>
          </cell>
          <cell r="AA122">
            <v>2</v>
          </cell>
          <cell r="AB122" t="str">
            <v>P</v>
          </cell>
          <cell r="AC122">
            <v>0</v>
          </cell>
          <cell r="AD122">
            <v>2</v>
          </cell>
          <cell r="AE122" t="str">
            <v>P</v>
          </cell>
          <cell r="AF122">
            <v>0</v>
          </cell>
          <cell r="AG122">
            <v>2</v>
          </cell>
          <cell r="AH122" t="str">
            <v>P</v>
          </cell>
          <cell r="AI122">
            <v>0</v>
          </cell>
          <cell r="AJ122">
            <v>2</v>
          </cell>
          <cell r="AK122" t="str">
            <v>S</v>
          </cell>
          <cell r="AL122">
            <v>0</v>
          </cell>
          <cell r="AM122">
            <v>5.5</v>
          </cell>
          <cell r="AN122" t="str">
            <v>P</v>
          </cell>
          <cell r="AO122">
            <v>0</v>
          </cell>
          <cell r="AP122">
            <v>2</v>
          </cell>
          <cell r="AQ122" t="str">
            <v>HD</v>
          </cell>
          <cell r="AR122">
            <v>0</v>
          </cell>
          <cell r="AS122">
            <v>1</v>
          </cell>
          <cell r="AT122" t="str">
            <v>P</v>
          </cell>
          <cell r="AU122">
            <v>0</v>
          </cell>
          <cell r="AV122">
            <v>2</v>
          </cell>
          <cell r="AW122" t="str">
            <v>P</v>
          </cell>
          <cell r="AX122">
            <v>0</v>
          </cell>
          <cell r="AY122">
            <v>2</v>
          </cell>
          <cell r="AZ122" t="str">
            <v>P</v>
          </cell>
          <cell r="BA122">
            <v>0</v>
          </cell>
          <cell r="BB122">
            <v>2</v>
          </cell>
          <cell r="BC122" t="str">
            <v>P</v>
          </cell>
          <cell r="BD122">
            <v>0</v>
          </cell>
          <cell r="BE122">
            <v>2</v>
          </cell>
          <cell r="BF122" t="str">
            <v>S</v>
          </cell>
          <cell r="BG122">
            <v>0</v>
          </cell>
          <cell r="BH122">
            <v>0</v>
          </cell>
          <cell r="BI122" t="str">
            <v>P</v>
          </cell>
          <cell r="BJ122">
            <v>0</v>
          </cell>
          <cell r="BK122">
            <v>2</v>
          </cell>
          <cell r="BL122" t="str">
            <v>P</v>
          </cell>
          <cell r="BM122">
            <v>0</v>
          </cell>
          <cell r="BN122">
            <v>2</v>
          </cell>
          <cell r="BO122" t="str">
            <v>P</v>
          </cell>
          <cell r="BP122">
            <v>0</v>
          </cell>
          <cell r="BQ122">
            <v>2</v>
          </cell>
          <cell r="BR122" t="str">
            <v>P</v>
          </cell>
          <cell r="BS122">
            <v>0</v>
          </cell>
          <cell r="BT122">
            <v>2</v>
          </cell>
          <cell r="BU122" t="str">
            <v>P</v>
          </cell>
          <cell r="BV122">
            <v>0</v>
          </cell>
          <cell r="BW122">
            <v>2</v>
          </cell>
          <cell r="BX122" t="str">
            <v>P</v>
          </cell>
          <cell r="BY122">
            <v>0</v>
          </cell>
          <cell r="BZ122">
            <v>2</v>
          </cell>
          <cell r="CA122" t="str">
            <v>S</v>
          </cell>
          <cell r="CB122">
            <v>0</v>
          </cell>
          <cell r="CC122">
            <v>0</v>
          </cell>
          <cell r="CD122" t="str">
            <v>P</v>
          </cell>
          <cell r="CE122">
            <v>0</v>
          </cell>
          <cell r="CF122">
            <v>2</v>
          </cell>
          <cell r="CG122" t="str">
            <v>P</v>
          </cell>
          <cell r="CH122">
            <v>0</v>
          </cell>
          <cell r="CI122">
            <v>2</v>
          </cell>
          <cell r="CJ122" t="str">
            <v>P</v>
          </cell>
          <cell r="CK122">
            <v>0</v>
          </cell>
          <cell r="CL122">
            <v>2</v>
          </cell>
          <cell r="CM122" t="str">
            <v>P</v>
          </cell>
          <cell r="CN122">
            <v>0</v>
          </cell>
          <cell r="CO122">
            <v>2</v>
          </cell>
          <cell r="CP122" t="str">
            <v>P</v>
          </cell>
          <cell r="CQ122">
            <v>0</v>
          </cell>
          <cell r="CR122">
            <v>2</v>
          </cell>
          <cell r="CS122" t="str">
            <v>P</v>
          </cell>
          <cell r="CT122">
            <v>0</v>
          </cell>
          <cell r="CU122">
            <v>2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0.5</v>
          </cell>
          <cell r="DF122">
            <v>23.5</v>
          </cell>
          <cell r="DG122">
            <v>0</v>
          </cell>
          <cell r="DH122">
            <v>58</v>
          </cell>
          <cell r="DI122">
            <v>0.5</v>
          </cell>
          <cell r="DJ122">
            <v>0</v>
          </cell>
          <cell r="DK122">
            <v>0</v>
          </cell>
          <cell r="DL122">
            <v>4</v>
          </cell>
          <cell r="DM122">
            <v>23.5</v>
          </cell>
          <cell r="DN122">
            <v>28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</row>
        <row r="123">
          <cell r="D123" t="str">
            <v>CFCP0836</v>
          </cell>
          <cell r="E123">
            <v>0</v>
          </cell>
          <cell r="F123" t="str">
            <v>Direct</v>
          </cell>
          <cell r="G123" t="str">
            <v>Sanjit Kumar Santram</v>
          </cell>
          <cell r="H123" t="str">
            <v>Direct Labour Wage</v>
          </cell>
          <cell r="I123" t="str">
            <v>EC2521450741-01E</v>
          </cell>
          <cell r="J123" t="str">
            <v>Core Factory</v>
          </cell>
          <cell r="K123" t="str">
            <v>Core</v>
          </cell>
          <cell r="L123" t="str">
            <v>Cut Core M/C</v>
          </cell>
          <cell r="M123" t="str">
            <v>Helper</v>
          </cell>
          <cell r="N123">
            <v>45536</v>
          </cell>
          <cell r="O123">
            <v>1.5095890410958903</v>
          </cell>
          <cell r="P123" t="str">
            <v>S</v>
          </cell>
          <cell r="Q123">
            <v>0</v>
          </cell>
          <cell r="R123">
            <v>0</v>
          </cell>
          <cell r="S123" t="str">
            <v>T</v>
          </cell>
          <cell r="T123">
            <v>0</v>
          </cell>
          <cell r="U123">
            <v>0</v>
          </cell>
          <cell r="V123" t="str">
            <v>T</v>
          </cell>
          <cell r="W123">
            <v>0</v>
          </cell>
          <cell r="X123">
            <v>0</v>
          </cell>
          <cell r="Y123" t="str">
            <v>T</v>
          </cell>
          <cell r="Z123">
            <v>0</v>
          </cell>
          <cell r="AA123">
            <v>0</v>
          </cell>
          <cell r="AB123" t="str">
            <v>T</v>
          </cell>
          <cell r="AC123">
            <v>0</v>
          </cell>
          <cell r="AD123">
            <v>0</v>
          </cell>
          <cell r="AE123" t="str">
            <v>T</v>
          </cell>
          <cell r="AF123">
            <v>0</v>
          </cell>
          <cell r="AG123">
            <v>0</v>
          </cell>
          <cell r="AH123" t="str">
            <v>T</v>
          </cell>
          <cell r="AI123">
            <v>0</v>
          </cell>
          <cell r="AJ123">
            <v>0</v>
          </cell>
          <cell r="AK123" t="str">
            <v>T</v>
          </cell>
          <cell r="AL123">
            <v>0</v>
          </cell>
          <cell r="AM123">
            <v>0</v>
          </cell>
          <cell r="AN123" t="str">
            <v>T</v>
          </cell>
          <cell r="AO123">
            <v>0</v>
          </cell>
          <cell r="AP123">
            <v>0</v>
          </cell>
          <cell r="AQ123" t="str">
            <v>T</v>
          </cell>
          <cell r="AR123">
            <v>0</v>
          </cell>
          <cell r="AS123">
            <v>0</v>
          </cell>
          <cell r="AT123" t="str">
            <v>A</v>
          </cell>
          <cell r="AU123">
            <v>0</v>
          </cell>
          <cell r="AV123">
            <v>0</v>
          </cell>
          <cell r="AW123" t="str">
            <v>A</v>
          </cell>
          <cell r="AX123">
            <v>0</v>
          </cell>
          <cell r="AY123">
            <v>0</v>
          </cell>
          <cell r="AZ123" t="str">
            <v>A</v>
          </cell>
          <cell r="BA123">
            <v>0</v>
          </cell>
          <cell r="BB123">
            <v>0</v>
          </cell>
          <cell r="BC123" t="str">
            <v>A</v>
          </cell>
          <cell r="BD123">
            <v>0</v>
          </cell>
          <cell r="BE123">
            <v>0</v>
          </cell>
          <cell r="BF123" t="str">
            <v>A</v>
          </cell>
          <cell r="BG123">
            <v>0</v>
          </cell>
          <cell r="BH123">
            <v>0</v>
          </cell>
          <cell r="BI123" t="str">
            <v>A</v>
          </cell>
          <cell r="BJ123">
            <v>0</v>
          </cell>
          <cell r="BK123">
            <v>0</v>
          </cell>
          <cell r="BL123" t="str">
            <v>A</v>
          </cell>
          <cell r="BM123">
            <v>0</v>
          </cell>
          <cell r="BN123">
            <v>0</v>
          </cell>
          <cell r="BO123" t="str">
            <v>A</v>
          </cell>
          <cell r="BP123">
            <v>0</v>
          </cell>
          <cell r="BQ123">
            <v>0</v>
          </cell>
          <cell r="BR123" t="str">
            <v>A</v>
          </cell>
          <cell r="BS123">
            <v>0</v>
          </cell>
          <cell r="BT123">
            <v>0</v>
          </cell>
          <cell r="BU123" t="str">
            <v>A</v>
          </cell>
          <cell r="BV123">
            <v>0</v>
          </cell>
          <cell r="BW123">
            <v>0</v>
          </cell>
          <cell r="BX123" t="str">
            <v>A</v>
          </cell>
          <cell r="BY123">
            <v>0</v>
          </cell>
          <cell r="BZ123">
            <v>0</v>
          </cell>
          <cell r="CA123" t="str">
            <v>A</v>
          </cell>
          <cell r="CB123">
            <v>0</v>
          </cell>
          <cell r="CC123">
            <v>0</v>
          </cell>
          <cell r="CD123" t="str">
            <v>A</v>
          </cell>
          <cell r="CE123">
            <v>0</v>
          </cell>
          <cell r="CF123">
            <v>0</v>
          </cell>
          <cell r="CG123" t="str">
            <v>A</v>
          </cell>
          <cell r="CH123">
            <v>0</v>
          </cell>
          <cell r="CI123">
            <v>0</v>
          </cell>
          <cell r="CJ123" t="str">
            <v>A</v>
          </cell>
          <cell r="CK123">
            <v>0</v>
          </cell>
          <cell r="CL123">
            <v>0</v>
          </cell>
          <cell r="CM123" t="str">
            <v>A</v>
          </cell>
          <cell r="CN123">
            <v>0</v>
          </cell>
          <cell r="CO123">
            <v>0</v>
          </cell>
          <cell r="CP123" t="str">
            <v>P</v>
          </cell>
          <cell r="CQ123">
            <v>0</v>
          </cell>
          <cell r="CR123">
            <v>2.5</v>
          </cell>
          <cell r="CS123" t="str">
            <v>P</v>
          </cell>
          <cell r="CT123">
            <v>0</v>
          </cell>
          <cell r="CU123">
            <v>2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2</v>
          </cell>
          <cell r="DG123">
            <v>0</v>
          </cell>
          <cell r="DH123">
            <v>4.5</v>
          </cell>
          <cell r="DI123">
            <v>16</v>
          </cell>
          <cell r="DJ123">
            <v>0</v>
          </cell>
          <cell r="DK123">
            <v>0</v>
          </cell>
          <cell r="DL123">
            <v>1</v>
          </cell>
          <cell r="DM123">
            <v>2</v>
          </cell>
          <cell r="DN123">
            <v>28</v>
          </cell>
          <cell r="DO123">
            <v>9</v>
          </cell>
          <cell r="DP123">
            <v>0</v>
          </cell>
          <cell r="DQ123">
            <v>0</v>
          </cell>
          <cell r="DR123">
            <v>0</v>
          </cell>
        </row>
        <row r="124">
          <cell r="D124" t="str">
            <v>SHE357</v>
          </cell>
          <cell r="E124">
            <v>0</v>
          </cell>
          <cell r="F124" t="str">
            <v>Direct</v>
          </cell>
          <cell r="G124" t="str">
            <v>Rajendra Kumar Ram Harsh</v>
          </cell>
          <cell r="H124" t="str">
            <v>Direct Labour Wage</v>
          </cell>
          <cell r="I124">
            <v>0</v>
          </cell>
          <cell r="J124" t="str">
            <v>Core Factory</v>
          </cell>
          <cell r="K124" t="str">
            <v>Coil Winding</v>
          </cell>
          <cell r="L124" t="str">
            <v>Core Winding</v>
          </cell>
          <cell r="M124" t="str">
            <v>Helper</v>
          </cell>
          <cell r="N124">
            <v>45954</v>
          </cell>
          <cell r="O124">
            <v>0.36438356164383562</v>
          </cell>
          <cell r="P124" t="str">
            <v>S</v>
          </cell>
          <cell r="Q124">
            <v>0</v>
          </cell>
          <cell r="R124">
            <v>5.5</v>
          </cell>
          <cell r="S124" t="str">
            <v>P</v>
          </cell>
          <cell r="T124">
            <v>0</v>
          </cell>
          <cell r="U124">
            <v>2</v>
          </cell>
          <cell r="V124" t="str">
            <v>P</v>
          </cell>
          <cell r="W124">
            <v>0</v>
          </cell>
          <cell r="X124">
            <v>2</v>
          </cell>
          <cell r="Y124" t="str">
            <v>P</v>
          </cell>
          <cell r="Z124">
            <v>0</v>
          </cell>
          <cell r="AA124">
            <v>2</v>
          </cell>
          <cell r="AB124" t="str">
            <v>P</v>
          </cell>
          <cell r="AC124">
            <v>0</v>
          </cell>
          <cell r="AD124">
            <v>0</v>
          </cell>
          <cell r="AE124" t="str">
            <v>P</v>
          </cell>
          <cell r="AF124">
            <v>0</v>
          </cell>
          <cell r="AG124">
            <v>0</v>
          </cell>
          <cell r="AH124" t="str">
            <v>P</v>
          </cell>
          <cell r="AI124">
            <v>0</v>
          </cell>
          <cell r="AJ124">
            <v>0</v>
          </cell>
          <cell r="AK124" t="str">
            <v>S</v>
          </cell>
          <cell r="AL124">
            <v>0</v>
          </cell>
          <cell r="AM124">
            <v>5.5</v>
          </cell>
          <cell r="AN124" t="str">
            <v>P</v>
          </cell>
          <cell r="AO124">
            <v>0</v>
          </cell>
          <cell r="AP124">
            <v>2</v>
          </cell>
          <cell r="AQ124" t="str">
            <v>A</v>
          </cell>
          <cell r="AR124">
            <v>0</v>
          </cell>
          <cell r="AS124">
            <v>0</v>
          </cell>
          <cell r="AT124" t="str">
            <v>A</v>
          </cell>
          <cell r="AU124">
            <v>0</v>
          </cell>
          <cell r="AV124">
            <v>0</v>
          </cell>
          <cell r="AW124" t="str">
            <v>A</v>
          </cell>
          <cell r="AX124">
            <v>0</v>
          </cell>
          <cell r="AY124">
            <v>0</v>
          </cell>
          <cell r="AZ124" t="str">
            <v>A</v>
          </cell>
          <cell r="BA124">
            <v>0</v>
          </cell>
          <cell r="BB124">
            <v>0</v>
          </cell>
          <cell r="BC124" t="str">
            <v>A</v>
          </cell>
          <cell r="BD124">
            <v>0</v>
          </cell>
          <cell r="BE124">
            <v>0</v>
          </cell>
          <cell r="BF124" t="str">
            <v>S</v>
          </cell>
          <cell r="BG124">
            <v>0</v>
          </cell>
          <cell r="BH124">
            <v>0</v>
          </cell>
          <cell r="BI124" t="str">
            <v>P</v>
          </cell>
          <cell r="BJ124">
            <v>0</v>
          </cell>
          <cell r="BK124">
            <v>2</v>
          </cell>
          <cell r="BL124" t="str">
            <v>P</v>
          </cell>
          <cell r="BM124">
            <v>0</v>
          </cell>
          <cell r="BN124">
            <v>2</v>
          </cell>
          <cell r="BO124" t="str">
            <v>P</v>
          </cell>
          <cell r="BP124">
            <v>0</v>
          </cell>
          <cell r="BQ124">
            <v>2</v>
          </cell>
          <cell r="BR124" t="str">
            <v>P</v>
          </cell>
          <cell r="BS124">
            <v>0</v>
          </cell>
          <cell r="BT124">
            <v>2</v>
          </cell>
          <cell r="BU124" t="str">
            <v>P</v>
          </cell>
          <cell r="BV124">
            <v>0</v>
          </cell>
          <cell r="BW124">
            <v>2</v>
          </cell>
          <cell r="BX124" t="str">
            <v>P</v>
          </cell>
          <cell r="BY124">
            <v>0</v>
          </cell>
          <cell r="BZ124">
            <v>2</v>
          </cell>
          <cell r="CA124" t="str">
            <v>S</v>
          </cell>
          <cell r="CB124">
            <v>0</v>
          </cell>
          <cell r="CC124">
            <v>5.5</v>
          </cell>
          <cell r="CD124" t="str">
            <v>P</v>
          </cell>
          <cell r="CE124">
            <v>0</v>
          </cell>
          <cell r="CF124">
            <v>2</v>
          </cell>
          <cell r="CG124" t="str">
            <v>P</v>
          </cell>
          <cell r="CH124">
            <v>0</v>
          </cell>
          <cell r="CI124">
            <v>2.5</v>
          </cell>
          <cell r="CJ124" t="str">
            <v>P</v>
          </cell>
          <cell r="CK124">
            <v>0</v>
          </cell>
          <cell r="CL124">
            <v>2</v>
          </cell>
          <cell r="CM124" t="str">
            <v>P</v>
          </cell>
          <cell r="CN124">
            <v>0</v>
          </cell>
          <cell r="CO124">
            <v>2</v>
          </cell>
          <cell r="CP124" t="str">
            <v>P</v>
          </cell>
          <cell r="CQ124">
            <v>0</v>
          </cell>
          <cell r="CR124">
            <v>2</v>
          </cell>
          <cell r="CS124" t="str">
            <v>P</v>
          </cell>
          <cell r="CT124">
            <v>0</v>
          </cell>
          <cell r="CU124">
            <v>2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19</v>
          </cell>
          <cell r="DG124">
            <v>0</v>
          </cell>
          <cell r="DH124">
            <v>49</v>
          </cell>
          <cell r="DI124">
            <v>5</v>
          </cell>
          <cell r="DJ124">
            <v>0</v>
          </cell>
          <cell r="DK124">
            <v>0</v>
          </cell>
          <cell r="DL124">
            <v>4</v>
          </cell>
          <cell r="DM124">
            <v>19</v>
          </cell>
          <cell r="DN124">
            <v>28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</row>
        <row r="125">
          <cell r="D125" t="str">
            <v>SHE363</v>
          </cell>
          <cell r="E125">
            <v>0</v>
          </cell>
          <cell r="F125" t="str">
            <v>In Direct</v>
          </cell>
          <cell r="G125" t="str">
            <v>Jitendrabhai Narayanbhai Parmar</v>
          </cell>
          <cell r="H125" t="str">
            <v>InDirect Labour Wage</v>
          </cell>
          <cell r="I125">
            <v>0</v>
          </cell>
          <cell r="J125" t="str">
            <v>Core Factory</v>
          </cell>
          <cell r="K125" t="str">
            <v>Mu-Metal</v>
          </cell>
          <cell r="L125" t="str">
            <v>Testing</v>
          </cell>
          <cell r="M125" t="str">
            <v>Technician</v>
          </cell>
          <cell r="N125">
            <v>45964</v>
          </cell>
          <cell r="O125">
            <v>0.33698630136986302</v>
          </cell>
          <cell r="P125" t="str">
            <v>S</v>
          </cell>
          <cell r="Q125">
            <v>0</v>
          </cell>
          <cell r="R125">
            <v>0</v>
          </cell>
          <cell r="S125" t="str">
            <v>P</v>
          </cell>
          <cell r="T125">
            <v>0</v>
          </cell>
          <cell r="U125">
            <v>0</v>
          </cell>
          <cell r="V125" t="str">
            <v>A</v>
          </cell>
          <cell r="W125">
            <v>0</v>
          </cell>
          <cell r="X125">
            <v>0</v>
          </cell>
          <cell r="Y125" t="str">
            <v>P</v>
          </cell>
          <cell r="Z125">
            <v>0</v>
          </cell>
          <cell r="AA125">
            <v>0</v>
          </cell>
          <cell r="AB125" t="str">
            <v>P</v>
          </cell>
          <cell r="AC125">
            <v>0</v>
          </cell>
          <cell r="AD125">
            <v>1</v>
          </cell>
          <cell r="AE125" t="str">
            <v>P</v>
          </cell>
          <cell r="AF125">
            <v>0</v>
          </cell>
          <cell r="AG125">
            <v>1</v>
          </cell>
          <cell r="AH125" t="str">
            <v>P</v>
          </cell>
          <cell r="AI125">
            <v>0</v>
          </cell>
          <cell r="AJ125">
            <v>0</v>
          </cell>
          <cell r="AK125" t="str">
            <v>S</v>
          </cell>
          <cell r="AL125">
            <v>0</v>
          </cell>
          <cell r="AM125">
            <v>0</v>
          </cell>
          <cell r="AN125" t="str">
            <v>P</v>
          </cell>
          <cell r="AO125">
            <v>0</v>
          </cell>
          <cell r="AP125">
            <v>0</v>
          </cell>
          <cell r="AQ125" t="str">
            <v>A</v>
          </cell>
          <cell r="AR125">
            <v>0</v>
          </cell>
          <cell r="AS125">
            <v>0</v>
          </cell>
          <cell r="AT125" t="str">
            <v>P</v>
          </cell>
          <cell r="AU125">
            <v>0</v>
          </cell>
          <cell r="AV125">
            <v>0</v>
          </cell>
          <cell r="AW125" t="str">
            <v>P</v>
          </cell>
          <cell r="AX125">
            <v>0</v>
          </cell>
          <cell r="AY125">
            <v>0</v>
          </cell>
          <cell r="AZ125" t="str">
            <v>P</v>
          </cell>
          <cell r="BA125">
            <v>0</v>
          </cell>
          <cell r="BB125">
            <v>0</v>
          </cell>
          <cell r="BC125" t="str">
            <v>P</v>
          </cell>
          <cell r="BD125">
            <v>0</v>
          </cell>
          <cell r="BE125">
            <v>0</v>
          </cell>
          <cell r="BF125" t="str">
            <v>S</v>
          </cell>
          <cell r="BG125">
            <v>0</v>
          </cell>
          <cell r="BH125">
            <v>0</v>
          </cell>
          <cell r="BI125" t="str">
            <v>P</v>
          </cell>
          <cell r="BJ125">
            <v>0</v>
          </cell>
          <cell r="BK125">
            <v>0</v>
          </cell>
          <cell r="BL125" t="str">
            <v>P</v>
          </cell>
          <cell r="BM125">
            <v>0</v>
          </cell>
          <cell r="BN125">
            <v>0</v>
          </cell>
          <cell r="BO125" t="str">
            <v>P</v>
          </cell>
          <cell r="BP125">
            <v>0</v>
          </cell>
          <cell r="BQ125">
            <v>0</v>
          </cell>
          <cell r="BR125" t="str">
            <v>P</v>
          </cell>
          <cell r="BS125">
            <v>0</v>
          </cell>
          <cell r="BT125">
            <v>0</v>
          </cell>
          <cell r="BU125" t="str">
            <v>P</v>
          </cell>
          <cell r="BV125">
            <v>0</v>
          </cell>
          <cell r="BW125">
            <v>0</v>
          </cell>
          <cell r="BX125" t="str">
            <v>P</v>
          </cell>
          <cell r="BY125">
            <v>0</v>
          </cell>
          <cell r="BZ125">
            <v>0</v>
          </cell>
          <cell r="CA125" t="str">
            <v>S</v>
          </cell>
          <cell r="CB125">
            <v>0</v>
          </cell>
          <cell r="CC125">
            <v>0</v>
          </cell>
          <cell r="CD125" t="str">
            <v>P</v>
          </cell>
          <cell r="CE125">
            <v>0</v>
          </cell>
          <cell r="CF125">
            <v>0</v>
          </cell>
          <cell r="CG125" t="str">
            <v>P</v>
          </cell>
          <cell r="CH125">
            <v>0</v>
          </cell>
          <cell r="CI125">
            <v>0</v>
          </cell>
          <cell r="CJ125" t="str">
            <v>P</v>
          </cell>
          <cell r="CK125">
            <v>0</v>
          </cell>
          <cell r="CL125">
            <v>0</v>
          </cell>
          <cell r="CM125" t="str">
            <v>P</v>
          </cell>
          <cell r="CN125">
            <v>0</v>
          </cell>
          <cell r="CO125">
            <v>0</v>
          </cell>
          <cell r="CP125" t="str">
            <v>P</v>
          </cell>
          <cell r="CQ125">
            <v>0</v>
          </cell>
          <cell r="CR125">
            <v>0</v>
          </cell>
          <cell r="CS125" t="str">
            <v>P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22</v>
          </cell>
          <cell r="DG125">
            <v>0</v>
          </cell>
          <cell r="DH125">
            <v>2</v>
          </cell>
          <cell r="DI125">
            <v>2</v>
          </cell>
          <cell r="DJ125">
            <v>0</v>
          </cell>
          <cell r="DK125">
            <v>0</v>
          </cell>
          <cell r="DL125">
            <v>4</v>
          </cell>
          <cell r="DM125">
            <v>22</v>
          </cell>
          <cell r="DN125">
            <v>28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</row>
        <row r="126">
          <cell r="D126" t="str">
            <v>SHE367</v>
          </cell>
          <cell r="E126">
            <v>0</v>
          </cell>
          <cell r="F126" t="str">
            <v>Direct</v>
          </cell>
          <cell r="G126" t="str">
            <v>Yogeshbhai Yashvantbhai Solanki</v>
          </cell>
          <cell r="H126" t="str">
            <v>Direct Labour Wage</v>
          </cell>
          <cell r="I126">
            <v>0</v>
          </cell>
          <cell r="J126" t="str">
            <v>Core Factory</v>
          </cell>
          <cell r="K126" t="str">
            <v>Mu-Metal</v>
          </cell>
          <cell r="L126" t="str">
            <v>Winding</v>
          </cell>
          <cell r="M126" t="str">
            <v>Helper</v>
          </cell>
          <cell r="N126">
            <v>45966</v>
          </cell>
          <cell r="O126">
            <v>0.33150684931506852</v>
          </cell>
          <cell r="P126" t="str">
            <v>S</v>
          </cell>
          <cell r="Q126">
            <v>0</v>
          </cell>
          <cell r="R126">
            <v>0</v>
          </cell>
          <cell r="S126" t="str">
            <v>P</v>
          </cell>
          <cell r="T126">
            <v>0</v>
          </cell>
          <cell r="U126">
            <v>0</v>
          </cell>
          <cell r="V126" t="str">
            <v>HD</v>
          </cell>
          <cell r="W126">
            <v>0</v>
          </cell>
          <cell r="X126">
            <v>0</v>
          </cell>
          <cell r="Y126" t="str">
            <v>A</v>
          </cell>
          <cell r="Z126">
            <v>0</v>
          </cell>
          <cell r="AA126">
            <v>0</v>
          </cell>
          <cell r="AB126" t="str">
            <v>A</v>
          </cell>
          <cell r="AC126">
            <v>0</v>
          </cell>
          <cell r="AD126">
            <v>0</v>
          </cell>
          <cell r="AE126" t="str">
            <v>A</v>
          </cell>
          <cell r="AF126">
            <v>0</v>
          </cell>
          <cell r="AG126">
            <v>0</v>
          </cell>
          <cell r="AH126" t="str">
            <v>P</v>
          </cell>
          <cell r="AI126">
            <v>0</v>
          </cell>
          <cell r="AJ126">
            <v>0</v>
          </cell>
          <cell r="AK126" t="str">
            <v>S</v>
          </cell>
          <cell r="AL126">
            <v>0</v>
          </cell>
          <cell r="AM126">
            <v>0</v>
          </cell>
          <cell r="AN126" t="str">
            <v>P</v>
          </cell>
          <cell r="AO126">
            <v>0</v>
          </cell>
          <cell r="AP126">
            <v>0</v>
          </cell>
          <cell r="AQ126" t="str">
            <v>P</v>
          </cell>
          <cell r="AR126">
            <v>0</v>
          </cell>
          <cell r="AS126">
            <v>0</v>
          </cell>
          <cell r="AT126" t="str">
            <v>P</v>
          </cell>
          <cell r="AU126">
            <v>0</v>
          </cell>
          <cell r="AV126">
            <v>0</v>
          </cell>
          <cell r="AW126" t="str">
            <v>P</v>
          </cell>
          <cell r="AX126">
            <v>0</v>
          </cell>
          <cell r="AY126">
            <v>0</v>
          </cell>
          <cell r="AZ126" t="str">
            <v>P</v>
          </cell>
          <cell r="BA126">
            <v>0</v>
          </cell>
          <cell r="BB126">
            <v>0</v>
          </cell>
          <cell r="BC126" t="str">
            <v>P</v>
          </cell>
          <cell r="BD126">
            <v>0</v>
          </cell>
          <cell r="BE126">
            <v>0</v>
          </cell>
          <cell r="BF126" t="str">
            <v>S</v>
          </cell>
          <cell r="BG126">
            <v>0</v>
          </cell>
          <cell r="BH126">
            <v>0</v>
          </cell>
          <cell r="BI126" t="str">
            <v>A</v>
          </cell>
          <cell r="BJ126">
            <v>0</v>
          </cell>
          <cell r="BK126">
            <v>0</v>
          </cell>
          <cell r="BL126" t="str">
            <v>P</v>
          </cell>
          <cell r="BM126">
            <v>0</v>
          </cell>
          <cell r="BN126">
            <v>0</v>
          </cell>
          <cell r="BO126" t="str">
            <v>P</v>
          </cell>
          <cell r="BP126">
            <v>0</v>
          </cell>
          <cell r="BQ126">
            <v>0</v>
          </cell>
          <cell r="BR126" t="str">
            <v>P</v>
          </cell>
          <cell r="BS126">
            <v>0</v>
          </cell>
          <cell r="BT126">
            <v>0</v>
          </cell>
          <cell r="BU126" t="str">
            <v>P</v>
          </cell>
          <cell r="BV126">
            <v>0</v>
          </cell>
          <cell r="BW126">
            <v>0</v>
          </cell>
          <cell r="BX126" t="str">
            <v>P</v>
          </cell>
          <cell r="BY126">
            <v>0</v>
          </cell>
          <cell r="BZ126">
            <v>0</v>
          </cell>
          <cell r="CA126" t="str">
            <v>S</v>
          </cell>
          <cell r="CB126">
            <v>0</v>
          </cell>
          <cell r="CC126">
            <v>0</v>
          </cell>
          <cell r="CD126" t="str">
            <v>P</v>
          </cell>
          <cell r="CE126">
            <v>0</v>
          </cell>
          <cell r="CF126">
            <v>0</v>
          </cell>
          <cell r="CG126" t="str">
            <v>P</v>
          </cell>
          <cell r="CH126">
            <v>0</v>
          </cell>
          <cell r="CI126">
            <v>0</v>
          </cell>
          <cell r="CJ126" t="str">
            <v>P</v>
          </cell>
          <cell r="CK126">
            <v>0</v>
          </cell>
          <cell r="CL126">
            <v>0</v>
          </cell>
          <cell r="CM126" t="str">
            <v>A</v>
          </cell>
          <cell r="CN126">
            <v>0</v>
          </cell>
          <cell r="CO126">
            <v>0</v>
          </cell>
          <cell r="CP126" t="str">
            <v>P</v>
          </cell>
          <cell r="CQ126">
            <v>0</v>
          </cell>
          <cell r="CR126">
            <v>0</v>
          </cell>
          <cell r="CS126" t="str">
            <v>P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0.5</v>
          </cell>
          <cell r="DF126">
            <v>18.5</v>
          </cell>
          <cell r="DG126">
            <v>0</v>
          </cell>
          <cell r="DH126">
            <v>0</v>
          </cell>
          <cell r="DI126">
            <v>5.5</v>
          </cell>
          <cell r="DJ126">
            <v>0</v>
          </cell>
          <cell r="DK126">
            <v>0</v>
          </cell>
          <cell r="DL126">
            <v>4</v>
          </cell>
          <cell r="DM126">
            <v>18.5</v>
          </cell>
          <cell r="DN126">
            <v>28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</row>
        <row r="127">
          <cell r="D127" t="str">
            <v>SHE402</v>
          </cell>
          <cell r="E127">
            <v>0</v>
          </cell>
          <cell r="F127" t="str">
            <v>Direct</v>
          </cell>
          <cell r="G127" t="str">
            <v>Jadav Karansinh Mahipatsinh</v>
          </cell>
          <cell r="H127" t="str">
            <v>Direct Labour Wage</v>
          </cell>
          <cell r="I127">
            <v>0</v>
          </cell>
          <cell r="J127" t="str">
            <v>Core Factory</v>
          </cell>
          <cell r="K127" t="str">
            <v>Coil Winding</v>
          </cell>
          <cell r="L127" t="str">
            <v>Polyster Machine</v>
          </cell>
          <cell r="M127" t="str">
            <v>Helper</v>
          </cell>
          <cell r="N127">
            <v>45980</v>
          </cell>
          <cell r="O127">
            <v>0.29315068493150687</v>
          </cell>
          <cell r="P127" t="str">
            <v>S</v>
          </cell>
          <cell r="Q127">
            <v>0</v>
          </cell>
          <cell r="R127">
            <v>0</v>
          </cell>
          <cell r="S127" t="str">
            <v>P</v>
          </cell>
          <cell r="T127">
            <v>0</v>
          </cell>
          <cell r="U127">
            <v>0</v>
          </cell>
          <cell r="V127" t="str">
            <v>P</v>
          </cell>
          <cell r="W127">
            <v>0</v>
          </cell>
          <cell r="X127">
            <v>0</v>
          </cell>
          <cell r="Y127" t="str">
            <v>P</v>
          </cell>
          <cell r="Z127">
            <v>0</v>
          </cell>
          <cell r="AA127">
            <v>0</v>
          </cell>
          <cell r="AB127" t="str">
            <v>P</v>
          </cell>
          <cell r="AC127">
            <v>0</v>
          </cell>
          <cell r="AD127">
            <v>0</v>
          </cell>
          <cell r="AE127" t="str">
            <v>P</v>
          </cell>
          <cell r="AF127">
            <v>0</v>
          </cell>
          <cell r="AG127">
            <v>0</v>
          </cell>
          <cell r="AH127" t="str">
            <v>P</v>
          </cell>
          <cell r="AI127">
            <v>0</v>
          </cell>
          <cell r="AJ127">
            <v>0</v>
          </cell>
          <cell r="AK127" t="str">
            <v>S</v>
          </cell>
          <cell r="AL127">
            <v>0</v>
          </cell>
          <cell r="AM127">
            <v>0</v>
          </cell>
          <cell r="AN127" t="str">
            <v>P</v>
          </cell>
          <cell r="AO127">
            <v>0</v>
          </cell>
          <cell r="AP127">
            <v>0</v>
          </cell>
          <cell r="AQ127" t="str">
            <v>P</v>
          </cell>
          <cell r="AR127">
            <v>0</v>
          </cell>
          <cell r="AS127">
            <v>0</v>
          </cell>
          <cell r="AT127" t="str">
            <v>A</v>
          </cell>
          <cell r="AU127">
            <v>0</v>
          </cell>
          <cell r="AV127">
            <v>0</v>
          </cell>
          <cell r="AW127" t="str">
            <v>P</v>
          </cell>
          <cell r="AX127">
            <v>0</v>
          </cell>
          <cell r="AY127">
            <v>0</v>
          </cell>
          <cell r="AZ127" t="str">
            <v>P</v>
          </cell>
          <cell r="BA127">
            <v>0</v>
          </cell>
          <cell r="BB127">
            <v>0</v>
          </cell>
          <cell r="BC127" t="str">
            <v>P</v>
          </cell>
          <cell r="BD127">
            <v>0</v>
          </cell>
          <cell r="BE127">
            <v>0</v>
          </cell>
          <cell r="BF127" t="str">
            <v>S</v>
          </cell>
          <cell r="BG127">
            <v>0</v>
          </cell>
          <cell r="BH127">
            <v>0</v>
          </cell>
          <cell r="BI127" t="str">
            <v>P</v>
          </cell>
          <cell r="BJ127">
            <v>0</v>
          </cell>
          <cell r="BK127">
            <v>0</v>
          </cell>
          <cell r="BL127" t="str">
            <v>A</v>
          </cell>
          <cell r="BM127">
            <v>0</v>
          </cell>
          <cell r="BN127">
            <v>0</v>
          </cell>
          <cell r="BO127" t="str">
            <v>A</v>
          </cell>
          <cell r="BP127">
            <v>0</v>
          </cell>
          <cell r="BQ127">
            <v>0</v>
          </cell>
          <cell r="BR127" t="str">
            <v>A</v>
          </cell>
          <cell r="BS127">
            <v>0</v>
          </cell>
          <cell r="BT127">
            <v>0</v>
          </cell>
          <cell r="BU127" t="str">
            <v>A</v>
          </cell>
          <cell r="BV127">
            <v>0</v>
          </cell>
          <cell r="BW127">
            <v>0</v>
          </cell>
          <cell r="BX127" t="str">
            <v>A</v>
          </cell>
          <cell r="BY127">
            <v>0</v>
          </cell>
          <cell r="BZ127">
            <v>0</v>
          </cell>
          <cell r="CA127" t="str">
            <v>A</v>
          </cell>
          <cell r="CB127">
            <v>0</v>
          </cell>
          <cell r="CC127">
            <v>0</v>
          </cell>
          <cell r="CD127" t="str">
            <v>A</v>
          </cell>
          <cell r="CE127">
            <v>0</v>
          </cell>
          <cell r="CF127">
            <v>0</v>
          </cell>
          <cell r="CG127" t="str">
            <v>A</v>
          </cell>
          <cell r="CH127">
            <v>0</v>
          </cell>
          <cell r="CI127">
            <v>0</v>
          </cell>
          <cell r="CJ127" t="str">
            <v>A</v>
          </cell>
          <cell r="CK127">
            <v>0</v>
          </cell>
          <cell r="CL127">
            <v>0</v>
          </cell>
          <cell r="CM127" t="str">
            <v>A</v>
          </cell>
          <cell r="CN127">
            <v>0</v>
          </cell>
          <cell r="CO127">
            <v>0</v>
          </cell>
          <cell r="CP127" t="str">
            <v>A</v>
          </cell>
          <cell r="CQ127">
            <v>0</v>
          </cell>
          <cell r="CR127">
            <v>0</v>
          </cell>
          <cell r="CS127" t="str">
            <v>A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12</v>
          </cell>
          <cell r="DG127">
            <v>0</v>
          </cell>
          <cell r="DH127">
            <v>0</v>
          </cell>
          <cell r="DI127">
            <v>13</v>
          </cell>
          <cell r="DJ127">
            <v>0</v>
          </cell>
          <cell r="DK127">
            <v>0</v>
          </cell>
          <cell r="DL127">
            <v>3</v>
          </cell>
          <cell r="DM127">
            <v>12</v>
          </cell>
          <cell r="DN127">
            <v>28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</row>
        <row r="128">
          <cell r="D128" t="str">
            <v>SHE405</v>
          </cell>
          <cell r="E128">
            <v>0</v>
          </cell>
          <cell r="F128" t="str">
            <v>Direct</v>
          </cell>
          <cell r="G128" t="str">
            <v>Vasava Jayeshbhai Kalidas</v>
          </cell>
          <cell r="H128" t="str">
            <v>Direct Labour Wage</v>
          </cell>
          <cell r="I128">
            <v>0</v>
          </cell>
          <cell r="J128" t="str">
            <v>Core Factory</v>
          </cell>
          <cell r="K128" t="str">
            <v>Coil Winding</v>
          </cell>
          <cell r="L128" t="str">
            <v>Hand Winding</v>
          </cell>
          <cell r="M128" t="str">
            <v>Helper</v>
          </cell>
          <cell r="N128">
            <v>45981</v>
          </cell>
          <cell r="O128">
            <v>0.29041095890410956</v>
          </cell>
          <cell r="P128" t="str">
            <v>S</v>
          </cell>
          <cell r="Q128">
            <v>0</v>
          </cell>
          <cell r="R128">
            <v>0</v>
          </cell>
          <cell r="S128" t="str">
            <v>P</v>
          </cell>
          <cell r="T128">
            <v>0</v>
          </cell>
          <cell r="U128">
            <v>2</v>
          </cell>
          <cell r="V128" t="str">
            <v>P</v>
          </cell>
          <cell r="W128">
            <v>0</v>
          </cell>
          <cell r="X128">
            <v>2</v>
          </cell>
          <cell r="Y128" t="str">
            <v>P</v>
          </cell>
          <cell r="Z128">
            <v>0</v>
          </cell>
          <cell r="AA128">
            <v>2</v>
          </cell>
          <cell r="AB128" t="str">
            <v>A</v>
          </cell>
          <cell r="AC128">
            <v>0</v>
          </cell>
          <cell r="AD128">
            <v>0</v>
          </cell>
          <cell r="AE128" t="str">
            <v>P</v>
          </cell>
          <cell r="AF128">
            <v>0</v>
          </cell>
          <cell r="AG128">
            <v>2</v>
          </cell>
          <cell r="AH128" t="str">
            <v>P</v>
          </cell>
          <cell r="AI128">
            <v>0</v>
          </cell>
          <cell r="AJ128">
            <v>2</v>
          </cell>
          <cell r="AK128" t="str">
            <v>S</v>
          </cell>
          <cell r="AL128">
            <v>0</v>
          </cell>
          <cell r="AM128">
            <v>0</v>
          </cell>
          <cell r="AN128" t="str">
            <v>P</v>
          </cell>
          <cell r="AO128">
            <v>0</v>
          </cell>
          <cell r="AP128">
            <v>2</v>
          </cell>
          <cell r="AQ128" t="str">
            <v>P</v>
          </cell>
          <cell r="AR128">
            <v>0</v>
          </cell>
          <cell r="AS128">
            <v>2</v>
          </cell>
          <cell r="AT128" t="str">
            <v>P</v>
          </cell>
          <cell r="AU128">
            <v>0</v>
          </cell>
          <cell r="AV128">
            <v>0</v>
          </cell>
          <cell r="AW128" t="str">
            <v>P</v>
          </cell>
          <cell r="AX128">
            <v>0</v>
          </cell>
          <cell r="AY128">
            <v>2</v>
          </cell>
          <cell r="AZ128" t="str">
            <v>HD</v>
          </cell>
          <cell r="BA128">
            <v>0</v>
          </cell>
          <cell r="BB128">
            <v>0</v>
          </cell>
          <cell r="BC128" t="str">
            <v>A</v>
          </cell>
          <cell r="BD128">
            <v>0</v>
          </cell>
          <cell r="BE128">
            <v>0</v>
          </cell>
          <cell r="BF128" t="str">
            <v>A</v>
          </cell>
          <cell r="BG128">
            <v>0</v>
          </cell>
          <cell r="BH128">
            <v>0</v>
          </cell>
          <cell r="BI128" t="str">
            <v>A</v>
          </cell>
          <cell r="BJ128">
            <v>0</v>
          </cell>
          <cell r="BK128">
            <v>0</v>
          </cell>
          <cell r="BL128" t="str">
            <v>A</v>
          </cell>
          <cell r="BM128">
            <v>0</v>
          </cell>
          <cell r="BN128">
            <v>0</v>
          </cell>
          <cell r="BO128" t="str">
            <v>A</v>
          </cell>
          <cell r="BP128">
            <v>0</v>
          </cell>
          <cell r="BQ128">
            <v>0</v>
          </cell>
          <cell r="BR128" t="str">
            <v>A</v>
          </cell>
          <cell r="BS128">
            <v>0</v>
          </cell>
          <cell r="BT128">
            <v>0</v>
          </cell>
          <cell r="BU128" t="str">
            <v>P</v>
          </cell>
          <cell r="BV128">
            <v>0</v>
          </cell>
          <cell r="BW128">
            <v>1.5</v>
          </cell>
          <cell r="BX128" t="str">
            <v>P</v>
          </cell>
          <cell r="BY128">
            <v>0</v>
          </cell>
          <cell r="BZ128">
            <v>0</v>
          </cell>
          <cell r="CA128" t="str">
            <v>S</v>
          </cell>
          <cell r="CB128">
            <v>0</v>
          </cell>
          <cell r="CC128">
            <v>0</v>
          </cell>
          <cell r="CD128" t="str">
            <v>P</v>
          </cell>
          <cell r="CE128">
            <v>0</v>
          </cell>
          <cell r="CF128">
            <v>0</v>
          </cell>
          <cell r="CG128" t="str">
            <v>P</v>
          </cell>
          <cell r="CH128">
            <v>0</v>
          </cell>
          <cell r="CI128">
            <v>2</v>
          </cell>
          <cell r="CJ128" t="str">
            <v>A</v>
          </cell>
          <cell r="CK128">
            <v>0</v>
          </cell>
          <cell r="CL128">
            <v>0</v>
          </cell>
          <cell r="CM128" t="str">
            <v>P</v>
          </cell>
          <cell r="CN128">
            <v>0</v>
          </cell>
          <cell r="CO128">
            <v>1.5</v>
          </cell>
          <cell r="CP128" t="str">
            <v>A</v>
          </cell>
          <cell r="CQ128">
            <v>0</v>
          </cell>
          <cell r="CR128">
            <v>0</v>
          </cell>
          <cell r="CS128" t="str">
            <v>P</v>
          </cell>
          <cell r="CT128">
            <v>0</v>
          </cell>
          <cell r="CU128">
            <v>2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0.5</v>
          </cell>
          <cell r="DF128">
            <v>15.5</v>
          </cell>
          <cell r="DG128">
            <v>0</v>
          </cell>
          <cell r="DH128">
            <v>23</v>
          </cell>
          <cell r="DI128">
            <v>9.5</v>
          </cell>
          <cell r="DJ128">
            <v>0</v>
          </cell>
          <cell r="DK128">
            <v>0</v>
          </cell>
          <cell r="DL128">
            <v>3</v>
          </cell>
          <cell r="DM128">
            <v>15.5</v>
          </cell>
          <cell r="DN128">
            <v>28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</row>
        <row r="129">
          <cell r="D129" t="str">
            <v>CFCA0248</v>
          </cell>
          <cell r="E129">
            <v>0</v>
          </cell>
          <cell r="F129" t="str">
            <v>Direct</v>
          </cell>
          <cell r="G129" t="str">
            <v>Ankit Premdas</v>
          </cell>
          <cell r="H129" t="str">
            <v>Direct Labour Wage</v>
          </cell>
          <cell r="I129">
            <v>0</v>
          </cell>
          <cell r="J129" t="str">
            <v>Core Factory</v>
          </cell>
          <cell r="K129" t="str">
            <v>Core</v>
          </cell>
          <cell r="L129" t="str">
            <v>Core Winding</v>
          </cell>
          <cell r="M129" t="str">
            <v>Operator</v>
          </cell>
          <cell r="N129">
            <v>43293</v>
          </cell>
          <cell r="O129">
            <v>7.6547945205479451</v>
          </cell>
          <cell r="P129" t="str">
            <v>T</v>
          </cell>
          <cell r="Q129">
            <v>0</v>
          </cell>
          <cell r="R129">
            <v>0</v>
          </cell>
          <cell r="S129" t="str">
            <v>P</v>
          </cell>
          <cell r="T129">
            <v>0</v>
          </cell>
          <cell r="U129">
            <v>2</v>
          </cell>
          <cell r="V129" t="str">
            <v>T</v>
          </cell>
          <cell r="W129">
            <v>0</v>
          </cell>
          <cell r="X129">
            <v>0</v>
          </cell>
          <cell r="Y129" t="str">
            <v>P</v>
          </cell>
          <cell r="Z129">
            <v>0</v>
          </cell>
          <cell r="AA129">
            <v>2</v>
          </cell>
          <cell r="AB129" t="str">
            <v>P</v>
          </cell>
          <cell r="AC129">
            <v>0</v>
          </cell>
          <cell r="AD129">
            <v>2</v>
          </cell>
          <cell r="AE129" t="str">
            <v>T</v>
          </cell>
          <cell r="AF129">
            <v>0</v>
          </cell>
          <cell r="AG129">
            <v>0</v>
          </cell>
          <cell r="AH129" t="str">
            <v>T</v>
          </cell>
          <cell r="AI129">
            <v>0</v>
          </cell>
          <cell r="AJ129">
            <v>0</v>
          </cell>
          <cell r="AK129" t="str">
            <v>S</v>
          </cell>
          <cell r="AL129">
            <v>0</v>
          </cell>
          <cell r="AM129">
            <v>4</v>
          </cell>
          <cell r="AN129" t="str">
            <v>T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>
            <v>2</v>
          </cell>
          <cell r="AT129" t="str">
            <v>T</v>
          </cell>
          <cell r="AU129">
            <v>0</v>
          </cell>
          <cell r="AV129">
            <v>0</v>
          </cell>
          <cell r="AW129" t="str">
            <v>P</v>
          </cell>
          <cell r="AX129">
            <v>0</v>
          </cell>
          <cell r="AY129">
            <v>2</v>
          </cell>
          <cell r="AZ129" t="str">
            <v>T</v>
          </cell>
          <cell r="BA129">
            <v>0</v>
          </cell>
          <cell r="BB129">
            <v>0</v>
          </cell>
          <cell r="BC129" t="str">
            <v>P</v>
          </cell>
          <cell r="BD129">
            <v>0</v>
          </cell>
          <cell r="BE129">
            <v>2</v>
          </cell>
          <cell r="BF129" t="str">
            <v>S</v>
          </cell>
          <cell r="BG129">
            <v>0</v>
          </cell>
          <cell r="BH129">
            <v>4</v>
          </cell>
          <cell r="BI129" t="str">
            <v>T</v>
          </cell>
          <cell r="BJ129">
            <v>0</v>
          </cell>
          <cell r="BK129">
            <v>0</v>
          </cell>
          <cell r="BL129" t="str">
            <v>P</v>
          </cell>
          <cell r="BM129">
            <v>0</v>
          </cell>
          <cell r="BN129">
            <v>0</v>
          </cell>
          <cell r="BO129" t="str">
            <v>T</v>
          </cell>
          <cell r="BP129">
            <v>0</v>
          </cell>
          <cell r="BQ129">
            <v>0</v>
          </cell>
          <cell r="BR129" t="str">
            <v>T</v>
          </cell>
          <cell r="BS129">
            <v>0</v>
          </cell>
          <cell r="BT129">
            <v>0</v>
          </cell>
          <cell r="BU129" t="str">
            <v>P</v>
          </cell>
          <cell r="BV129">
            <v>0</v>
          </cell>
          <cell r="BW129">
            <v>2</v>
          </cell>
          <cell r="BX129" t="str">
            <v>T</v>
          </cell>
          <cell r="BY129">
            <v>0</v>
          </cell>
          <cell r="BZ129">
            <v>0</v>
          </cell>
          <cell r="CA129" t="str">
            <v>T</v>
          </cell>
          <cell r="CB129">
            <v>0</v>
          </cell>
          <cell r="CC129">
            <v>0</v>
          </cell>
          <cell r="CD129" t="str">
            <v>T</v>
          </cell>
          <cell r="CE129">
            <v>0</v>
          </cell>
          <cell r="CF129">
            <v>0</v>
          </cell>
          <cell r="CG129" t="str">
            <v>P</v>
          </cell>
          <cell r="CH129">
            <v>0</v>
          </cell>
          <cell r="CI129">
            <v>2</v>
          </cell>
          <cell r="CJ129" t="str">
            <v>T</v>
          </cell>
          <cell r="CK129">
            <v>0</v>
          </cell>
          <cell r="CL129">
            <v>0</v>
          </cell>
          <cell r="CM129" t="str">
            <v>P</v>
          </cell>
          <cell r="CN129">
            <v>0</v>
          </cell>
          <cell r="CO129">
            <v>2</v>
          </cell>
          <cell r="CP129" t="str">
            <v>T</v>
          </cell>
          <cell r="CQ129">
            <v>0</v>
          </cell>
          <cell r="CR129">
            <v>0</v>
          </cell>
          <cell r="CS129" t="str">
            <v>T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10</v>
          </cell>
          <cell r="DG129">
            <v>0</v>
          </cell>
          <cell r="DH129">
            <v>26</v>
          </cell>
          <cell r="DI129">
            <v>0</v>
          </cell>
          <cell r="DJ129">
            <v>0</v>
          </cell>
          <cell r="DK129">
            <v>0</v>
          </cell>
          <cell r="DL129">
            <v>2</v>
          </cell>
          <cell r="DM129">
            <v>10</v>
          </cell>
          <cell r="DN129">
            <v>28</v>
          </cell>
          <cell r="DO129">
            <v>16</v>
          </cell>
          <cell r="DP129">
            <v>0</v>
          </cell>
          <cell r="DQ129">
            <v>0</v>
          </cell>
          <cell r="DR129">
            <v>0</v>
          </cell>
        </row>
        <row r="130">
          <cell r="D130" t="str">
            <v>CFCP0620</v>
          </cell>
          <cell r="E130">
            <v>0</v>
          </cell>
          <cell r="F130" t="str">
            <v>Direct</v>
          </cell>
          <cell r="G130" t="str">
            <v>Shivam Ram Ganesh</v>
          </cell>
          <cell r="H130" t="str">
            <v>Direct Labour Wage</v>
          </cell>
          <cell r="I130">
            <v>0</v>
          </cell>
          <cell r="J130" t="str">
            <v>Core Factory</v>
          </cell>
          <cell r="K130" t="str">
            <v>Core</v>
          </cell>
          <cell r="L130" t="str">
            <v>Core Winding</v>
          </cell>
          <cell r="M130" t="str">
            <v>Operator</v>
          </cell>
          <cell r="N130">
            <v>45541</v>
          </cell>
          <cell r="O130">
            <v>1.4958904109589042</v>
          </cell>
          <cell r="P130" t="str">
            <v>S</v>
          </cell>
          <cell r="Q130">
            <v>0</v>
          </cell>
          <cell r="R130">
            <v>4</v>
          </cell>
          <cell r="S130" t="str">
            <v>P</v>
          </cell>
          <cell r="T130">
            <v>0</v>
          </cell>
          <cell r="U130">
            <v>2</v>
          </cell>
          <cell r="V130" t="str">
            <v>P</v>
          </cell>
          <cell r="W130">
            <v>0</v>
          </cell>
          <cell r="X130">
            <v>2</v>
          </cell>
          <cell r="Y130" t="str">
            <v>P</v>
          </cell>
          <cell r="Z130">
            <v>0</v>
          </cell>
          <cell r="AA130">
            <v>2</v>
          </cell>
          <cell r="AB130" t="str">
            <v>P</v>
          </cell>
          <cell r="AC130">
            <v>0</v>
          </cell>
          <cell r="AD130">
            <v>2</v>
          </cell>
          <cell r="AE130" t="str">
            <v>T</v>
          </cell>
          <cell r="AF130">
            <v>0</v>
          </cell>
          <cell r="AG130">
            <v>0</v>
          </cell>
          <cell r="AH130" t="str">
            <v>P</v>
          </cell>
          <cell r="AI130">
            <v>0</v>
          </cell>
          <cell r="AJ130">
            <v>2</v>
          </cell>
          <cell r="AK130" t="str">
            <v>T</v>
          </cell>
          <cell r="AL130">
            <v>0</v>
          </cell>
          <cell r="AM130">
            <v>0</v>
          </cell>
          <cell r="AN130" t="str">
            <v>P</v>
          </cell>
          <cell r="AO130">
            <v>0</v>
          </cell>
          <cell r="AP130">
            <v>2</v>
          </cell>
          <cell r="AQ130" t="str">
            <v>A</v>
          </cell>
          <cell r="AR130">
            <v>0</v>
          </cell>
          <cell r="AS130">
            <v>0</v>
          </cell>
          <cell r="AT130" t="str">
            <v>P</v>
          </cell>
          <cell r="AU130">
            <v>0</v>
          </cell>
          <cell r="AV130">
            <v>2</v>
          </cell>
          <cell r="AW130" t="str">
            <v>T</v>
          </cell>
          <cell r="AX130">
            <v>0</v>
          </cell>
          <cell r="AY130">
            <v>0</v>
          </cell>
          <cell r="AZ130" t="str">
            <v>T</v>
          </cell>
          <cell r="BA130">
            <v>0</v>
          </cell>
          <cell r="BB130">
            <v>0</v>
          </cell>
          <cell r="BC130" t="str">
            <v>T</v>
          </cell>
          <cell r="BD130">
            <v>0</v>
          </cell>
          <cell r="BE130">
            <v>0</v>
          </cell>
          <cell r="BF130" t="str">
            <v>S</v>
          </cell>
          <cell r="BG130">
            <v>0</v>
          </cell>
          <cell r="BH130">
            <v>0</v>
          </cell>
          <cell r="BI130" t="str">
            <v>P</v>
          </cell>
          <cell r="BJ130">
            <v>0</v>
          </cell>
          <cell r="BK130">
            <v>2</v>
          </cell>
          <cell r="BL130" t="str">
            <v>P</v>
          </cell>
          <cell r="BM130">
            <v>0</v>
          </cell>
          <cell r="BN130">
            <v>2</v>
          </cell>
          <cell r="BO130" t="str">
            <v>P</v>
          </cell>
          <cell r="BP130">
            <v>0</v>
          </cell>
          <cell r="BQ130">
            <v>2</v>
          </cell>
          <cell r="BR130" t="str">
            <v>T</v>
          </cell>
          <cell r="BS130">
            <v>0</v>
          </cell>
          <cell r="BT130">
            <v>0</v>
          </cell>
          <cell r="BU130" t="str">
            <v>T</v>
          </cell>
          <cell r="BV130">
            <v>0</v>
          </cell>
          <cell r="BW130">
            <v>0</v>
          </cell>
          <cell r="BX130" t="str">
            <v>P</v>
          </cell>
          <cell r="BY130">
            <v>0</v>
          </cell>
          <cell r="BZ130">
            <v>1.5</v>
          </cell>
          <cell r="CA130" t="str">
            <v>S</v>
          </cell>
          <cell r="CB130">
            <v>0</v>
          </cell>
          <cell r="CC130">
            <v>0</v>
          </cell>
          <cell r="CD130" t="str">
            <v>T</v>
          </cell>
          <cell r="CE130">
            <v>0</v>
          </cell>
          <cell r="CF130">
            <v>0</v>
          </cell>
          <cell r="CG130" t="str">
            <v>P</v>
          </cell>
          <cell r="CH130">
            <v>0</v>
          </cell>
          <cell r="CI130">
            <v>0</v>
          </cell>
          <cell r="CJ130" t="str">
            <v>P</v>
          </cell>
          <cell r="CK130">
            <v>0</v>
          </cell>
          <cell r="CL130">
            <v>2</v>
          </cell>
          <cell r="CM130" t="str">
            <v>HD</v>
          </cell>
          <cell r="CN130">
            <v>0</v>
          </cell>
          <cell r="CO130">
            <v>1</v>
          </cell>
          <cell r="CP130" t="str">
            <v>A</v>
          </cell>
          <cell r="CQ130">
            <v>0</v>
          </cell>
          <cell r="CR130">
            <v>0</v>
          </cell>
          <cell r="CS130" t="str">
            <v>T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0.5</v>
          </cell>
          <cell r="DF130">
            <v>13.5</v>
          </cell>
          <cell r="DG130">
            <v>0</v>
          </cell>
          <cell r="DH130">
            <v>28.5</v>
          </cell>
          <cell r="DI130">
            <v>2.5</v>
          </cell>
          <cell r="DJ130">
            <v>0</v>
          </cell>
          <cell r="DK130">
            <v>0</v>
          </cell>
          <cell r="DL130">
            <v>3</v>
          </cell>
          <cell r="DM130">
            <v>13.5</v>
          </cell>
          <cell r="DN130">
            <v>28</v>
          </cell>
          <cell r="DO130">
            <v>9</v>
          </cell>
          <cell r="DP130">
            <v>0</v>
          </cell>
          <cell r="DQ130">
            <v>0</v>
          </cell>
          <cell r="DR130">
            <v>0</v>
          </cell>
        </row>
        <row r="131">
          <cell r="D131" t="str">
            <v>CFCP0749</v>
          </cell>
          <cell r="E131">
            <v>0</v>
          </cell>
          <cell r="F131" t="str">
            <v>Direct</v>
          </cell>
          <cell r="G131" t="str">
            <v>Abhy Maya</v>
          </cell>
          <cell r="H131" t="str">
            <v>Direct Labour Wage</v>
          </cell>
          <cell r="I131">
            <v>0</v>
          </cell>
          <cell r="J131" t="str">
            <v>Core Factory</v>
          </cell>
          <cell r="K131" t="str">
            <v>Core</v>
          </cell>
          <cell r="L131" t="str">
            <v>Core Winding</v>
          </cell>
          <cell r="M131" t="str">
            <v>Operator</v>
          </cell>
          <cell r="N131">
            <v>45542</v>
          </cell>
          <cell r="O131">
            <v>1.4931506849315068</v>
          </cell>
          <cell r="P131" t="str">
            <v>T</v>
          </cell>
          <cell r="Q131">
            <v>0</v>
          </cell>
          <cell r="R131">
            <v>0</v>
          </cell>
          <cell r="S131" t="str">
            <v>T</v>
          </cell>
          <cell r="T131">
            <v>0</v>
          </cell>
          <cell r="U131">
            <v>0</v>
          </cell>
          <cell r="V131" t="str">
            <v>T</v>
          </cell>
          <cell r="W131">
            <v>0</v>
          </cell>
          <cell r="X131">
            <v>0</v>
          </cell>
          <cell r="Y131" t="str">
            <v>T</v>
          </cell>
          <cell r="Z131">
            <v>0</v>
          </cell>
          <cell r="AA131">
            <v>0</v>
          </cell>
          <cell r="AB131" t="str">
            <v>T</v>
          </cell>
          <cell r="AC131">
            <v>0</v>
          </cell>
          <cell r="AD131">
            <v>0</v>
          </cell>
          <cell r="AE131" t="str">
            <v>A</v>
          </cell>
          <cell r="AF131">
            <v>0</v>
          </cell>
          <cell r="AG131">
            <v>0</v>
          </cell>
          <cell r="AH131" t="str">
            <v>T</v>
          </cell>
          <cell r="AI131">
            <v>0</v>
          </cell>
          <cell r="AJ131">
            <v>0</v>
          </cell>
          <cell r="AK131" t="str">
            <v>T</v>
          </cell>
          <cell r="AL131">
            <v>0</v>
          </cell>
          <cell r="AM131">
            <v>0</v>
          </cell>
          <cell r="AN131" t="str">
            <v>T</v>
          </cell>
          <cell r="AO131">
            <v>0</v>
          </cell>
          <cell r="AP131">
            <v>0</v>
          </cell>
          <cell r="AQ131" t="str">
            <v>T</v>
          </cell>
          <cell r="AR131">
            <v>0</v>
          </cell>
          <cell r="AS131">
            <v>0</v>
          </cell>
          <cell r="AT131" t="str">
            <v>T</v>
          </cell>
          <cell r="AU131">
            <v>0</v>
          </cell>
          <cell r="AV131">
            <v>0</v>
          </cell>
          <cell r="AW131" t="str">
            <v>T</v>
          </cell>
          <cell r="AX131">
            <v>0</v>
          </cell>
          <cell r="AY131">
            <v>0</v>
          </cell>
          <cell r="AZ131" t="str">
            <v>T</v>
          </cell>
          <cell r="BA131">
            <v>0</v>
          </cell>
          <cell r="BB131">
            <v>0</v>
          </cell>
          <cell r="BC131" t="str">
            <v>T</v>
          </cell>
          <cell r="BD131">
            <v>0</v>
          </cell>
          <cell r="BE131">
            <v>0</v>
          </cell>
          <cell r="BF131" t="str">
            <v>T</v>
          </cell>
          <cell r="BG131">
            <v>0</v>
          </cell>
          <cell r="BH131">
            <v>0</v>
          </cell>
          <cell r="BI131" t="str">
            <v>A</v>
          </cell>
          <cell r="BJ131">
            <v>0</v>
          </cell>
          <cell r="BK131">
            <v>0</v>
          </cell>
          <cell r="BL131" t="str">
            <v>T</v>
          </cell>
          <cell r="BM131">
            <v>0</v>
          </cell>
          <cell r="BN131">
            <v>0</v>
          </cell>
          <cell r="BO131" t="str">
            <v>T</v>
          </cell>
          <cell r="BP131">
            <v>0</v>
          </cell>
          <cell r="BQ131">
            <v>0</v>
          </cell>
          <cell r="BR131" t="str">
            <v>T</v>
          </cell>
          <cell r="BS131">
            <v>0</v>
          </cell>
          <cell r="BT131">
            <v>0</v>
          </cell>
          <cell r="BU131" t="str">
            <v>T</v>
          </cell>
          <cell r="BV131">
            <v>0</v>
          </cell>
          <cell r="BW131">
            <v>0</v>
          </cell>
          <cell r="BX131" t="str">
            <v>T</v>
          </cell>
          <cell r="BY131">
            <v>0</v>
          </cell>
          <cell r="BZ131">
            <v>0</v>
          </cell>
          <cell r="CA131" t="str">
            <v>T</v>
          </cell>
          <cell r="CB131">
            <v>0</v>
          </cell>
          <cell r="CC131">
            <v>0</v>
          </cell>
          <cell r="CD131" t="str">
            <v>T</v>
          </cell>
          <cell r="CE131">
            <v>0</v>
          </cell>
          <cell r="CF131">
            <v>0</v>
          </cell>
          <cell r="CG131" t="str">
            <v>T</v>
          </cell>
          <cell r="CH131">
            <v>0</v>
          </cell>
          <cell r="CI131">
            <v>0</v>
          </cell>
          <cell r="CJ131" t="str">
            <v>T</v>
          </cell>
          <cell r="CK131">
            <v>0</v>
          </cell>
          <cell r="CL131">
            <v>0</v>
          </cell>
          <cell r="CM131" t="str">
            <v>T</v>
          </cell>
          <cell r="CN131">
            <v>0</v>
          </cell>
          <cell r="CO131">
            <v>0</v>
          </cell>
          <cell r="CP131" t="str">
            <v>P</v>
          </cell>
          <cell r="CQ131">
            <v>0</v>
          </cell>
          <cell r="CR131">
            <v>2</v>
          </cell>
          <cell r="CS131" t="str">
            <v>T</v>
          </cell>
          <cell r="CT131">
            <v>0</v>
          </cell>
          <cell r="CU131">
            <v>2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1</v>
          </cell>
          <cell r="DG131">
            <v>0</v>
          </cell>
          <cell r="DH131">
            <v>4</v>
          </cell>
          <cell r="DI131">
            <v>2</v>
          </cell>
          <cell r="DJ131">
            <v>0</v>
          </cell>
          <cell r="DK131">
            <v>0</v>
          </cell>
          <cell r="DL131">
            <v>0</v>
          </cell>
          <cell r="DM131">
            <v>1</v>
          </cell>
          <cell r="DN131">
            <v>28</v>
          </cell>
          <cell r="DO131">
            <v>25</v>
          </cell>
          <cell r="DP131">
            <v>0</v>
          </cell>
          <cell r="DQ131">
            <v>0</v>
          </cell>
          <cell r="DR131">
            <v>0</v>
          </cell>
        </row>
        <row r="132">
          <cell r="D132" t="str">
            <v>CFCP0342</v>
          </cell>
          <cell r="E132">
            <v>0</v>
          </cell>
          <cell r="F132" t="str">
            <v>Direct</v>
          </cell>
          <cell r="G132" t="str">
            <v>Ajay Kumar Amarnath</v>
          </cell>
          <cell r="H132" t="str">
            <v>Direct Labour Wage</v>
          </cell>
          <cell r="I132">
            <v>0</v>
          </cell>
          <cell r="J132" t="str">
            <v>Core Factory</v>
          </cell>
          <cell r="K132" t="str">
            <v>Coil Winding</v>
          </cell>
          <cell r="L132" t="str">
            <v>Hand Winding</v>
          </cell>
          <cell r="M132" t="str">
            <v>Operator</v>
          </cell>
          <cell r="N132">
            <v>44348</v>
          </cell>
          <cell r="O132">
            <v>4.7643835616438359</v>
          </cell>
          <cell r="P132" t="str">
            <v>T</v>
          </cell>
          <cell r="Q132">
            <v>0</v>
          </cell>
          <cell r="R132">
            <v>0</v>
          </cell>
          <cell r="S132" t="str">
            <v>T</v>
          </cell>
          <cell r="T132">
            <v>0</v>
          </cell>
          <cell r="U132">
            <v>0</v>
          </cell>
          <cell r="V132" t="str">
            <v>T</v>
          </cell>
          <cell r="W132">
            <v>0</v>
          </cell>
          <cell r="X132">
            <v>0</v>
          </cell>
          <cell r="Y132" t="str">
            <v>T</v>
          </cell>
          <cell r="Z132">
            <v>0</v>
          </cell>
          <cell r="AA132">
            <v>0</v>
          </cell>
          <cell r="AB132" t="str">
            <v>T</v>
          </cell>
          <cell r="AC132">
            <v>0</v>
          </cell>
          <cell r="AD132">
            <v>0</v>
          </cell>
          <cell r="AE132" t="str">
            <v>T</v>
          </cell>
          <cell r="AF132">
            <v>0</v>
          </cell>
          <cell r="AG132">
            <v>0</v>
          </cell>
          <cell r="AH132" t="str">
            <v>T</v>
          </cell>
          <cell r="AI132">
            <v>0</v>
          </cell>
          <cell r="AJ132">
            <v>0</v>
          </cell>
          <cell r="AK132" t="str">
            <v>T</v>
          </cell>
          <cell r="AL132">
            <v>0</v>
          </cell>
          <cell r="AM132">
            <v>0</v>
          </cell>
          <cell r="AN132" t="str">
            <v>T</v>
          </cell>
          <cell r="AO132">
            <v>0</v>
          </cell>
          <cell r="AP132">
            <v>0</v>
          </cell>
          <cell r="AQ132" t="str">
            <v>T</v>
          </cell>
          <cell r="AR132">
            <v>0</v>
          </cell>
          <cell r="AS132">
            <v>0</v>
          </cell>
          <cell r="AT132" t="str">
            <v>T</v>
          </cell>
          <cell r="AU132">
            <v>0</v>
          </cell>
          <cell r="AV132">
            <v>0</v>
          </cell>
          <cell r="AW132" t="str">
            <v>T</v>
          </cell>
          <cell r="AX132">
            <v>0</v>
          </cell>
          <cell r="AY132">
            <v>0</v>
          </cell>
          <cell r="AZ132" t="str">
            <v>T</v>
          </cell>
          <cell r="BA132">
            <v>0</v>
          </cell>
          <cell r="BB132">
            <v>0</v>
          </cell>
          <cell r="BC132" t="str">
            <v>T</v>
          </cell>
          <cell r="BD132">
            <v>0</v>
          </cell>
          <cell r="BE132">
            <v>0</v>
          </cell>
          <cell r="BF132" t="str">
            <v>T</v>
          </cell>
          <cell r="BG132">
            <v>0</v>
          </cell>
          <cell r="BH132">
            <v>0</v>
          </cell>
          <cell r="BI132" t="str">
            <v>T</v>
          </cell>
          <cell r="BJ132">
            <v>0</v>
          </cell>
          <cell r="BK132">
            <v>0</v>
          </cell>
          <cell r="BL132" t="str">
            <v>T</v>
          </cell>
          <cell r="BM132">
            <v>0</v>
          </cell>
          <cell r="BN132">
            <v>0</v>
          </cell>
          <cell r="BO132" t="str">
            <v>T</v>
          </cell>
          <cell r="BP132">
            <v>0</v>
          </cell>
          <cell r="BQ132">
            <v>0</v>
          </cell>
          <cell r="BR132" t="str">
            <v>T</v>
          </cell>
          <cell r="BS132">
            <v>0</v>
          </cell>
          <cell r="BT132">
            <v>0</v>
          </cell>
          <cell r="BU132" t="str">
            <v>T</v>
          </cell>
          <cell r="BV132">
            <v>0</v>
          </cell>
          <cell r="BW132">
            <v>0</v>
          </cell>
          <cell r="BX132" t="str">
            <v>T</v>
          </cell>
          <cell r="BY132">
            <v>0</v>
          </cell>
          <cell r="BZ132">
            <v>0</v>
          </cell>
          <cell r="CA132" t="str">
            <v>T</v>
          </cell>
          <cell r="CB132">
            <v>0</v>
          </cell>
          <cell r="CC132">
            <v>0</v>
          </cell>
          <cell r="CD132" t="str">
            <v>T</v>
          </cell>
          <cell r="CE132">
            <v>0</v>
          </cell>
          <cell r="CF132">
            <v>0</v>
          </cell>
          <cell r="CG132" t="str">
            <v>T</v>
          </cell>
          <cell r="CH132">
            <v>0</v>
          </cell>
          <cell r="CI132">
            <v>0</v>
          </cell>
          <cell r="CJ132" t="str">
            <v>T</v>
          </cell>
          <cell r="CK132">
            <v>0</v>
          </cell>
          <cell r="CL132">
            <v>0</v>
          </cell>
          <cell r="CM132" t="str">
            <v>T</v>
          </cell>
          <cell r="CN132">
            <v>0</v>
          </cell>
          <cell r="CO132">
            <v>0</v>
          </cell>
          <cell r="CP132" t="str">
            <v>T</v>
          </cell>
          <cell r="CQ132">
            <v>0</v>
          </cell>
          <cell r="CR132">
            <v>0</v>
          </cell>
          <cell r="CS132" t="str">
            <v>T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28</v>
          </cell>
          <cell r="DO132">
            <v>28</v>
          </cell>
          <cell r="DP132">
            <v>0</v>
          </cell>
          <cell r="DQ132">
            <v>0</v>
          </cell>
          <cell r="DR132">
            <v>0</v>
          </cell>
        </row>
        <row r="133">
          <cell r="D133" t="str">
            <v>CFCP0320</v>
          </cell>
          <cell r="E133">
            <v>0</v>
          </cell>
          <cell r="F133" t="str">
            <v>Direct</v>
          </cell>
          <cell r="G133" t="str">
            <v>Abhishek Kumar Chhedilal</v>
          </cell>
          <cell r="H133" t="str">
            <v>Direct Labour Wage</v>
          </cell>
          <cell r="I133">
            <v>0</v>
          </cell>
          <cell r="J133" t="str">
            <v>Core Factory</v>
          </cell>
          <cell r="K133" t="str">
            <v>Coil Winding</v>
          </cell>
          <cell r="L133" t="str">
            <v>Hand Winding</v>
          </cell>
          <cell r="M133" t="str">
            <v>Operator</v>
          </cell>
          <cell r="N133">
            <v>43497</v>
          </cell>
          <cell r="O133">
            <v>7.095890410958904</v>
          </cell>
          <cell r="P133" t="str">
            <v>T</v>
          </cell>
          <cell r="Q133">
            <v>0</v>
          </cell>
          <cell r="R133">
            <v>0</v>
          </cell>
          <cell r="S133" t="str">
            <v>T</v>
          </cell>
          <cell r="T133">
            <v>0</v>
          </cell>
          <cell r="U133">
            <v>0</v>
          </cell>
          <cell r="V133" t="str">
            <v>T</v>
          </cell>
          <cell r="W133">
            <v>0</v>
          </cell>
          <cell r="X133">
            <v>0</v>
          </cell>
          <cell r="Y133" t="str">
            <v>T</v>
          </cell>
          <cell r="Z133">
            <v>0</v>
          </cell>
          <cell r="AA133">
            <v>0</v>
          </cell>
          <cell r="AB133" t="str">
            <v>T</v>
          </cell>
          <cell r="AC133">
            <v>0</v>
          </cell>
          <cell r="AD133">
            <v>0</v>
          </cell>
          <cell r="AE133" t="str">
            <v>T</v>
          </cell>
          <cell r="AF133">
            <v>0</v>
          </cell>
          <cell r="AG133">
            <v>0</v>
          </cell>
          <cell r="AH133" t="str">
            <v>T</v>
          </cell>
          <cell r="AI133">
            <v>0</v>
          </cell>
          <cell r="AJ133">
            <v>0</v>
          </cell>
          <cell r="AK133" t="str">
            <v>T</v>
          </cell>
          <cell r="AL133">
            <v>0</v>
          </cell>
          <cell r="AM133">
            <v>0</v>
          </cell>
          <cell r="AN133" t="str">
            <v>T</v>
          </cell>
          <cell r="AO133">
            <v>0</v>
          </cell>
          <cell r="AP133">
            <v>0</v>
          </cell>
          <cell r="AQ133" t="str">
            <v>T</v>
          </cell>
          <cell r="AR133">
            <v>0</v>
          </cell>
          <cell r="AS133">
            <v>0</v>
          </cell>
          <cell r="AT133" t="str">
            <v>T</v>
          </cell>
          <cell r="AU133">
            <v>0</v>
          </cell>
          <cell r="AV133">
            <v>0</v>
          </cell>
          <cell r="AW133" t="str">
            <v>T</v>
          </cell>
          <cell r="AX133">
            <v>0</v>
          </cell>
          <cell r="AY133">
            <v>0</v>
          </cell>
          <cell r="AZ133" t="str">
            <v>T</v>
          </cell>
          <cell r="BA133">
            <v>0</v>
          </cell>
          <cell r="BB133">
            <v>0</v>
          </cell>
          <cell r="BC133" t="str">
            <v>T</v>
          </cell>
          <cell r="BD133">
            <v>0</v>
          </cell>
          <cell r="BE133">
            <v>0</v>
          </cell>
          <cell r="BF133" t="str">
            <v>S</v>
          </cell>
          <cell r="BG133">
            <v>0</v>
          </cell>
          <cell r="BH133">
            <v>0</v>
          </cell>
          <cell r="BI133" t="str">
            <v>T</v>
          </cell>
          <cell r="BJ133">
            <v>0</v>
          </cell>
          <cell r="BK133">
            <v>0</v>
          </cell>
          <cell r="BL133" t="str">
            <v>T</v>
          </cell>
          <cell r="BM133">
            <v>0</v>
          </cell>
          <cell r="BN133">
            <v>0</v>
          </cell>
          <cell r="BO133" t="str">
            <v>T</v>
          </cell>
          <cell r="BP133">
            <v>0</v>
          </cell>
          <cell r="BQ133">
            <v>0</v>
          </cell>
          <cell r="BR133" t="str">
            <v>T</v>
          </cell>
          <cell r="BS133">
            <v>0</v>
          </cell>
          <cell r="BT133">
            <v>0</v>
          </cell>
          <cell r="BU133" t="str">
            <v>T</v>
          </cell>
          <cell r="BV133">
            <v>0</v>
          </cell>
          <cell r="BW133">
            <v>0</v>
          </cell>
          <cell r="BX133" t="str">
            <v>T</v>
          </cell>
          <cell r="BY133">
            <v>0</v>
          </cell>
          <cell r="BZ133">
            <v>0</v>
          </cell>
          <cell r="CA133" t="str">
            <v>T</v>
          </cell>
          <cell r="CB133">
            <v>0</v>
          </cell>
          <cell r="CC133">
            <v>0</v>
          </cell>
          <cell r="CD133" t="str">
            <v>T</v>
          </cell>
          <cell r="CE133">
            <v>0</v>
          </cell>
          <cell r="CF133">
            <v>0</v>
          </cell>
          <cell r="CG133" t="str">
            <v>T</v>
          </cell>
          <cell r="CH133">
            <v>0</v>
          </cell>
          <cell r="CI133">
            <v>0</v>
          </cell>
          <cell r="CJ133" t="str">
            <v>T</v>
          </cell>
          <cell r="CK133">
            <v>0</v>
          </cell>
          <cell r="CL133">
            <v>0</v>
          </cell>
          <cell r="CM133" t="str">
            <v>T</v>
          </cell>
          <cell r="CN133">
            <v>0</v>
          </cell>
          <cell r="CO133">
            <v>0</v>
          </cell>
          <cell r="CP133" t="str">
            <v>T</v>
          </cell>
          <cell r="CQ133">
            <v>0</v>
          </cell>
          <cell r="CR133">
            <v>0</v>
          </cell>
          <cell r="CS133" t="str">
            <v>T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1</v>
          </cell>
          <cell r="DM133">
            <v>0</v>
          </cell>
          <cell r="DN133">
            <v>28</v>
          </cell>
          <cell r="DO133">
            <v>27</v>
          </cell>
          <cell r="DP133">
            <v>0</v>
          </cell>
          <cell r="DQ133">
            <v>0</v>
          </cell>
          <cell r="DR133">
            <v>0</v>
          </cell>
        </row>
        <row r="134">
          <cell r="D134" t="str">
            <v>CFCP0037</v>
          </cell>
          <cell r="E134">
            <v>0</v>
          </cell>
          <cell r="F134" t="str">
            <v>Direct</v>
          </cell>
          <cell r="G134" t="str">
            <v>ARVIND KUMAR DHARMESH</v>
          </cell>
          <cell r="H134" t="str">
            <v>Direct Labour Wage</v>
          </cell>
          <cell r="I134">
            <v>0</v>
          </cell>
          <cell r="J134" t="str">
            <v>Core Factory</v>
          </cell>
          <cell r="K134" t="str">
            <v>Coil Winding</v>
          </cell>
          <cell r="L134" t="str">
            <v>Hand Winding</v>
          </cell>
          <cell r="M134" t="str">
            <v>Operator</v>
          </cell>
          <cell r="N134">
            <v>44434</v>
          </cell>
          <cell r="O134">
            <v>4.5287671232876709</v>
          </cell>
          <cell r="P134" t="str">
            <v>T</v>
          </cell>
          <cell r="Q134">
            <v>0</v>
          </cell>
          <cell r="R134">
            <v>0</v>
          </cell>
          <cell r="S134" t="str">
            <v>T</v>
          </cell>
          <cell r="T134">
            <v>0</v>
          </cell>
          <cell r="U134">
            <v>0</v>
          </cell>
          <cell r="V134" t="str">
            <v>T</v>
          </cell>
          <cell r="W134">
            <v>0</v>
          </cell>
          <cell r="X134">
            <v>0</v>
          </cell>
          <cell r="Y134" t="str">
            <v>T</v>
          </cell>
          <cell r="Z134">
            <v>0</v>
          </cell>
          <cell r="AA134">
            <v>0</v>
          </cell>
          <cell r="AB134" t="str">
            <v>T</v>
          </cell>
          <cell r="AC134">
            <v>0</v>
          </cell>
          <cell r="AD134">
            <v>0</v>
          </cell>
          <cell r="AE134" t="str">
            <v>T</v>
          </cell>
          <cell r="AF134">
            <v>0</v>
          </cell>
          <cell r="AG134">
            <v>0</v>
          </cell>
          <cell r="AH134" t="str">
            <v>T</v>
          </cell>
          <cell r="AI134">
            <v>0</v>
          </cell>
          <cell r="AJ134">
            <v>0</v>
          </cell>
          <cell r="AK134" t="str">
            <v>T</v>
          </cell>
          <cell r="AL134">
            <v>0</v>
          </cell>
          <cell r="AM134">
            <v>0</v>
          </cell>
          <cell r="AN134" t="str">
            <v>T</v>
          </cell>
          <cell r="AO134">
            <v>0</v>
          </cell>
          <cell r="AP134">
            <v>0</v>
          </cell>
          <cell r="AQ134" t="str">
            <v>T</v>
          </cell>
          <cell r="AR134">
            <v>0</v>
          </cell>
          <cell r="AS134">
            <v>0</v>
          </cell>
          <cell r="AT134" t="str">
            <v>A</v>
          </cell>
          <cell r="AU134">
            <v>0</v>
          </cell>
          <cell r="AV134">
            <v>0</v>
          </cell>
          <cell r="AW134" t="str">
            <v>A</v>
          </cell>
          <cell r="AX134">
            <v>0</v>
          </cell>
          <cell r="AY134">
            <v>0</v>
          </cell>
          <cell r="AZ134" t="str">
            <v>A</v>
          </cell>
          <cell r="BA134">
            <v>0</v>
          </cell>
          <cell r="BB134">
            <v>0</v>
          </cell>
          <cell r="BC134" t="str">
            <v>A</v>
          </cell>
          <cell r="BD134">
            <v>0</v>
          </cell>
          <cell r="BE134">
            <v>0</v>
          </cell>
          <cell r="BF134" t="str">
            <v>A</v>
          </cell>
          <cell r="BG134">
            <v>0</v>
          </cell>
          <cell r="BH134">
            <v>0</v>
          </cell>
          <cell r="BI134" t="str">
            <v>A</v>
          </cell>
          <cell r="BJ134">
            <v>0</v>
          </cell>
          <cell r="BK134">
            <v>0</v>
          </cell>
          <cell r="BL134" t="str">
            <v>A</v>
          </cell>
          <cell r="BM134">
            <v>0</v>
          </cell>
          <cell r="BN134">
            <v>0</v>
          </cell>
          <cell r="BO134" t="str">
            <v>A</v>
          </cell>
          <cell r="BP134">
            <v>0</v>
          </cell>
          <cell r="BQ134">
            <v>0</v>
          </cell>
          <cell r="BR134" t="str">
            <v>A</v>
          </cell>
          <cell r="BS134">
            <v>0</v>
          </cell>
          <cell r="BT134">
            <v>0</v>
          </cell>
          <cell r="BU134" t="str">
            <v>A</v>
          </cell>
          <cell r="BV134">
            <v>0</v>
          </cell>
          <cell r="BW134">
            <v>0</v>
          </cell>
          <cell r="BX134" t="str">
            <v>A</v>
          </cell>
          <cell r="BY134">
            <v>0</v>
          </cell>
          <cell r="BZ134">
            <v>0</v>
          </cell>
          <cell r="CA134" t="str">
            <v>A</v>
          </cell>
          <cell r="CB134">
            <v>0</v>
          </cell>
          <cell r="CC134">
            <v>0</v>
          </cell>
          <cell r="CD134" t="str">
            <v>A</v>
          </cell>
          <cell r="CE134">
            <v>0</v>
          </cell>
          <cell r="CF134">
            <v>0</v>
          </cell>
          <cell r="CG134" t="str">
            <v>A</v>
          </cell>
          <cell r="CH134">
            <v>0</v>
          </cell>
          <cell r="CI134">
            <v>0</v>
          </cell>
          <cell r="CJ134" t="str">
            <v>A</v>
          </cell>
          <cell r="CK134">
            <v>0</v>
          </cell>
          <cell r="CL134">
            <v>0</v>
          </cell>
          <cell r="CM134" t="str">
            <v>A</v>
          </cell>
          <cell r="CN134">
            <v>0</v>
          </cell>
          <cell r="CO134">
            <v>0</v>
          </cell>
          <cell r="CP134" t="str">
            <v>A</v>
          </cell>
          <cell r="CQ134">
            <v>0</v>
          </cell>
          <cell r="CR134">
            <v>0</v>
          </cell>
          <cell r="CS134" t="str">
            <v>A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18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28</v>
          </cell>
          <cell r="DO134">
            <v>10</v>
          </cell>
          <cell r="DP134">
            <v>0</v>
          </cell>
          <cell r="DQ134">
            <v>0</v>
          </cell>
          <cell r="DR134">
            <v>0</v>
          </cell>
        </row>
        <row r="135">
          <cell r="D135" t="str">
            <v>CFCP0787</v>
          </cell>
          <cell r="E135">
            <v>0</v>
          </cell>
          <cell r="F135">
            <v>0</v>
          </cell>
          <cell r="G135" t="str">
            <v>Praveen Kumar Yadav</v>
          </cell>
          <cell r="H135" t="str">
            <v>InDirect Labour Wage</v>
          </cell>
          <cell r="I135">
            <v>0</v>
          </cell>
          <cell r="J135" t="str">
            <v>Core Factory</v>
          </cell>
          <cell r="K135" t="str">
            <v>Core</v>
          </cell>
          <cell r="L135" t="str">
            <v>Finishing</v>
          </cell>
          <cell r="M135" t="str">
            <v>Helper</v>
          </cell>
          <cell r="N135">
            <v>45367</v>
          </cell>
          <cell r="O135">
            <v>1.7589041095890412</v>
          </cell>
          <cell r="P135" t="str">
            <v>S</v>
          </cell>
          <cell r="Q135">
            <v>0</v>
          </cell>
          <cell r="R135">
            <v>10</v>
          </cell>
          <cell r="S135" t="str">
            <v>T</v>
          </cell>
          <cell r="T135">
            <v>0</v>
          </cell>
          <cell r="U135">
            <v>0</v>
          </cell>
          <cell r="V135" t="str">
            <v>T</v>
          </cell>
          <cell r="W135">
            <v>0</v>
          </cell>
          <cell r="X135">
            <v>0</v>
          </cell>
          <cell r="Y135" t="str">
            <v>P</v>
          </cell>
          <cell r="Z135">
            <v>0</v>
          </cell>
          <cell r="AA135">
            <v>0</v>
          </cell>
          <cell r="AB135" t="str">
            <v>T</v>
          </cell>
          <cell r="AC135">
            <v>0</v>
          </cell>
          <cell r="AD135">
            <v>0</v>
          </cell>
          <cell r="AE135" t="str">
            <v>T</v>
          </cell>
          <cell r="AF135">
            <v>0</v>
          </cell>
          <cell r="AG135">
            <v>0</v>
          </cell>
          <cell r="AH135" t="str">
            <v>T</v>
          </cell>
          <cell r="AI135">
            <v>0</v>
          </cell>
          <cell r="AJ135">
            <v>0</v>
          </cell>
          <cell r="AK135" t="str">
            <v>T</v>
          </cell>
          <cell r="AL135">
            <v>0</v>
          </cell>
          <cell r="AM135">
            <v>0</v>
          </cell>
          <cell r="AN135" t="str">
            <v>T</v>
          </cell>
          <cell r="AO135">
            <v>0</v>
          </cell>
          <cell r="AP135">
            <v>0</v>
          </cell>
          <cell r="AQ135" t="str">
            <v>T</v>
          </cell>
          <cell r="AR135">
            <v>0</v>
          </cell>
          <cell r="AS135">
            <v>0</v>
          </cell>
          <cell r="AT135" t="str">
            <v>T</v>
          </cell>
          <cell r="AU135">
            <v>0</v>
          </cell>
          <cell r="AV135">
            <v>0</v>
          </cell>
          <cell r="AW135" t="str">
            <v>T</v>
          </cell>
          <cell r="AX135">
            <v>0</v>
          </cell>
          <cell r="AY135">
            <v>0</v>
          </cell>
          <cell r="AZ135" t="str">
            <v>T</v>
          </cell>
          <cell r="BA135">
            <v>0</v>
          </cell>
          <cell r="BB135">
            <v>0</v>
          </cell>
          <cell r="BC135" t="str">
            <v>T</v>
          </cell>
          <cell r="BD135">
            <v>0</v>
          </cell>
          <cell r="BE135">
            <v>0</v>
          </cell>
          <cell r="BF135" t="str">
            <v>T</v>
          </cell>
          <cell r="BG135">
            <v>0</v>
          </cell>
          <cell r="BH135">
            <v>5</v>
          </cell>
          <cell r="BI135" t="str">
            <v>T</v>
          </cell>
          <cell r="BJ135">
            <v>0</v>
          </cell>
          <cell r="BK135">
            <v>0</v>
          </cell>
          <cell r="BL135" t="str">
            <v>T</v>
          </cell>
          <cell r="BM135">
            <v>0</v>
          </cell>
          <cell r="BN135">
            <v>0</v>
          </cell>
          <cell r="BO135" t="str">
            <v>T</v>
          </cell>
          <cell r="BP135">
            <v>0</v>
          </cell>
          <cell r="BQ135">
            <v>0</v>
          </cell>
          <cell r="BR135" t="str">
            <v>T</v>
          </cell>
          <cell r="BS135">
            <v>0</v>
          </cell>
          <cell r="BT135">
            <v>0</v>
          </cell>
          <cell r="BU135" t="str">
            <v>T</v>
          </cell>
          <cell r="BV135">
            <v>0</v>
          </cell>
          <cell r="BW135">
            <v>0</v>
          </cell>
          <cell r="BX135" t="str">
            <v>T</v>
          </cell>
          <cell r="BY135">
            <v>0</v>
          </cell>
          <cell r="BZ135">
            <v>0</v>
          </cell>
          <cell r="CA135" t="str">
            <v>T</v>
          </cell>
          <cell r="CB135">
            <v>0</v>
          </cell>
          <cell r="CC135">
            <v>0</v>
          </cell>
          <cell r="CD135" t="str">
            <v>T</v>
          </cell>
          <cell r="CE135">
            <v>0</v>
          </cell>
          <cell r="CF135">
            <v>0</v>
          </cell>
          <cell r="CG135" t="str">
            <v>T</v>
          </cell>
          <cell r="CH135">
            <v>0</v>
          </cell>
          <cell r="CI135">
            <v>0</v>
          </cell>
          <cell r="CJ135" t="str">
            <v>T</v>
          </cell>
          <cell r="CK135">
            <v>0</v>
          </cell>
          <cell r="CL135">
            <v>0</v>
          </cell>
          <cell r="CM135" t="str">
            <v>T</v>
          </cell>
          <cell r="CN135">
            <v>0</v>
          </cell>
          <cell r="CO135">
            <v>0</v>
          </cell>
          <cell r="CP135" t="str">
            <v>T</v>
          </cell>
          <cell r="CQ135">
            <v>0</v>
          </cell>
          <cell r="CR135">
            <v>0</v>
          </cell>
          <cell r="CS135" t="str">
            <v>A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1</v>
          </cell>
          <cell r="DG135">
            <v>0</v>
          </cell>
          <cell r="DH135">
            <v>15</v>
          </cell>
          <cell r="DI135">
            <v>1</v>
          </cell>
          <cell r="DJ135">
            <v>0</v>
          </cell>
          <cell r="DK135">
            <v>0</v>
          </cell>
          <cell r="DL135">
            <v>1</v>
          </cell>
          <cell r="DM135">
            <v>1</v>
          </cell>
          <cell r="DN135">
            <v>28</v>
          </cell>
          <cell r="DO135">
            <v>25</v>
          </cell>
          <cell r="DP135">
            <v>0</v>
          </cell>
          <cell r="DQ135">
            <v>0</v>
          </cell>
          <cell r="DR135">
            <v>0</v>
          </cell>
        </row>
        <row r="136">
          <cell r="D136" t="str">
            <v>CFCP0811</v>
          </cell>
          <cell r="E136">
            <v>0</v>
          </cell>
          <cell r="F136">
            <v>0</v>
          </cell>
          <cell r="G136" t="str">
            <v>Abhishek Gaur</v>
          </cell>
          <cell r="H136" t="str">
            <v>Direct Labour Wage</v>
          </cell>
          <cell r="I136">
            <v>0</v>
          </cell>
          <cell r="J136" t="str">
            <v>Core Factory</v>
          </cell>
          <cell r="K136" t="str">
            <v>Core</v>
          </cell>
          <cell r="L136" t="str">
            <v>Core Winding</v>
          </cell>
          <cell r="M136" t="str">
            <v>Helper</v>
          </cell>
          <cell r="N136">
            <v>45441</v>
          </cell>
          <cell r="O136">
            <v>1.5561643835616439</v>
          </cell>
          <cell r="P136" t="str">
            <v>S</v>
          </cell>
          <cell r="Q136">
            <v>0</v>
          </cell>
          <cell r="R136">
            <v>5</v>
          </cell>
          <cell r="S136" t="str">
            <v>P</v>
          </cell>
          <cell r="T136">
            <v>0</v>
          </cell>
          <cell r="U136">
            <v>2</v>
          </cell>
          <cell r="V136" t="str">
            <v>P</v>
          </cell>
          <cell r="W136">
            <v>0</v>
          </cell>
          <cell r="X136">
            <v>2</v>
          </cell>
          <cell r="Y136" t="str">
            <v>P</v>
          </cell>
          <cell r="Z136">
            <v>0</v>
          </cell>
          <cell r="AA136">
            <v>2</v>
          </cell>
          <cell r="AB136" t="str">
            <v>P</v>
          </cell>
          <cell r="AC136">
            <v>0</v>
          </cell>
          <cell r="AD136">
            <v>2</v>
          </cell>
          <cell r="AE136" t="str">
            <v>P</v>
          </cell>
          <cell r="AF136">
            <v>0</v>
          </cell>
          <cell r="AG136">
            <v>2</v>
          </cell>
          <cell r="AH136" t="str">
            <v>P</v>
          </cell>
          <cell r="AI136">
            <v>0</v>
          </cell>
          <cell r="AJ136">
            <v>2</v>
          </cell>
          <cell r="AK136" t="str">
            <v>S</v>
          </cell>
          <cell r="AL136">
            <v>0</v>
          </cell>
          <cell r="AM136">
            <v>5</v>
          </cell>
          <cell r="AN136" t="str">
            <v>P</v>
          </cell>
          <cell r="AO136">
            <v>0</v>
          </cell>
          <cell r="AP136">
            <v>2</v>
          </cell>
          <cell r="AQ136" t="str">
            <v>P</v>
          </cell>
          <cell r="AR136">
            <v>0</v>
          </cell>
          <cell r="AS136">
            <v>2</v>
          </cell>
          <cell r="AT136" t="str">
            <v>P</v>
          </cell>
          <cell r="AU136">
            <v>0</v>
          </cell>
          <cell r="AV136">
            <v>2</v>
          </cell>
          <cell r="AW136" t="str">
            <v>P</v>
          </cell>
          <cell r="AX136">
            <v>0</v>
          </cell>
          <cell r="AY136">
            <v>2</v>
          </cell>
          <cell r="AZ136" t="str">
            <v>P</v>
          </cell>
          <cell r="BA136">
            <v>0</v>
          </cell>
          <cell r="BB136">
            <v>2</v>
          </cell>
          <cell r="BC136" t="str">
            <v>P</v>
          </cell>
          <cell r="BD136">
            <v>0</v>
          </cell>
          <cell r="BE136">
            <v>2</v>
          </cell>
          <cell r="BF136" t="str">
            <v>S</v>
          </cell>
          <cell r="BG136">
            <v>0</v>
          </cell>
          <cell r="BH136">
            <v>5</v>
          </cell>
          <cell r="BI136" t="str">
            <v>P</v>
          </cell>
          <cell r="BJ136">
            <v>0</v>
          </cell>
          <cell r="BK136">
            <v>2</v>
          </cell>
          <cell r="BL136" t="str">
            <v>P</v>
          </cell>
          <cell r="BM136">
            <v>0</v>
          </cell>
          <cell r="BN136">
            <v>2</v>
          </cell>
          <cell r="BO136" t="str">
            <v>P</v>
          </cell>
          <cell r="BP136">
            <v>0</v>
          </cell>
          <cell r="BQ136">
            <v>2</v>
          </cell>
          <cell r="BR136" t="str">
            <v>P</v>
          </cell>
          <cell r="BS136">
            <v>0</v>
          </cell>
          <cell r="BT136">
            <v>2</v>
          </cell>
          <cell r="BU136" t="str">
            <v>P</v>
          </cell>
          <cell r="BV136">
            <v>0</v>
          </cell>
          <cell r="BW136">
            <v>2</v>
          </cell>
          <cell r="BX136" t="str">
            <v>P</v>
          </cell>
          <cell r="BY136">
            <v>0</v>
          </cell>
          <cell r="BZ136">
            <v>2</v>
          </cell>
          <cell r="CA136" t="str">
            <v>S</v>
          </cell>
          <cell r="CB136">
            <v>0</v>
          </cell>
          <cell r="CC136">
            <v>5.5</v>
          </cell>
          <cell r="CD136" t="str">
            <v>P</v>
          </cell>
          <cell r="CE136">
            <v>0</v>
          </cell>
          <cell r="CF136">
            <v>2</v>
          </cell>
          <cell r="CG136" t="str">
            <v>P</v>
          </cell>
          <cell r="CH136">
            <v>0</v>
          </cell>
          <cell r="CI136">
            <v>2</v>
          </cell>
          <cell r="CJ136" t="str">
            <v>P</v>
          </cell>
          <cell r="CK136">
            <v>0</v>
          </cell>
          <cell r="CL136">
            <v>2</v>
          </cell>
          <cell r="CM136" t="str">
            <v>A</v>
          </cell>
          <cell r="CN136">
            <v>0</v>
          </cell>
          <cell r="CO136">
            <v>0</v>
          </cell>
          <cell r="CP136" t="str">
            <v>A</v>
          </cell>
          <cell r="CQ136">
            <v>0</v>
          </cell>
          <cell r="CR136">
            <v>0</v>
          </cell>
          <cell r="CS136" t="str">
            <v>A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21</v>
          </cell>
          <cell r="DG136">
            <v>0</v>
          </cell>
          <cell r="DH136">
            <v>62.5</v>
          </cell>
          <cell r="DI136">
            <v>3</v>
          </cell>
          <cell r="DJ136">
            <v>0</v>
          </cell>
          <cell r="DK136">
            <v>0</v>
          </cell>
          <cell r="DL136">
            <v>4</v>
          </cell>
          <cell r="DM136">
            <v>21</v>
          </cell>
          <cell r="DN136">
            <v>28</v>
          </cell>
          <cell r="DO136">
            <v>0</v>
          </cell>
          <cell r="DP136">
            <v>0</v>
          </cell>
          <cell r="DQ136">
            <v>0</v>
          </cell>
          <cell r="DR136">
            <v>400</v>
          </cell>
        </row>
        <row r="137">
          <cell r="D137" t="str">
            <v>CFCP0789</v>
          </cell>
          <cell r="E137">
            <v>0</v>
          </cell>
          <cell r="F137">
            <v>0</v>
          </cell>
          <cell r="G137" t="str">
            <v>Ram Lakhan Sadhari</v>
          </cell>
          <cell r="H137" t="str">
            <v>Direct Labour Wage</v>
          </cell>
          <cell r="I137">
            <v>0</v>
          </cell>
          <cell r="J137" t="str">
            <v>Core Factory</v>
          </cell>
          <cell r="K137" t="str">
            <v>Core</v>
          </cell>
          <cell r="L137" t="str">
            <v>Furnace</v>
          </cell>
          <cell r="M137" t="str">
            <v>Helper</v>
          </cell>
          <cell r="N137">
            <v>45364</v>
          </cell>
          <cell r="O137">
            <v>1.7671232876712328</v>
          </cell>
          <cell r="P137" t="str">
            <v>S</v>
          </cell>
          <cell r="Q137">
            <v>0</v>
          </cell>
          <cell r="R137">
            <v>5</v>
          </cell>
          <cell r="S137" t="str">
            <v>P</v>
          </cell>
          <cell r="T137">
            <v>0</v>
          </cell>
          <cell r="U137">
            <v>2</v>
          </cell>
          <cell r="V137" t="str">
            <v>P</v>
          </cell>
          <cell r="W137">
            <v>0</v>
          </cell>
          <cell r="X137">
            <v>2.5</v>
          </cell>
          <cell r="Y137" t="str">
            <v>P</v>
          </cell>
          <cell r="Z137">
            <v>0</v>
          </cell>
          <cell r="AA137">
            <v>2</v>
          </cell>
          <cell r="AB137" t="str">
            <v>P</v>
          </cell>
          <cell r="AC137">
            <v>0</v>
          </cell>
          <cell r="AD137">
            <v>2.2000000000000002</v>
          </cell>
          <cell r="AE137" t="str">
            <v>P</v>
          </cell>
          <cell r="AF137">
            <v>0</v>
          </cell>
          <cell r="AG137">
            <v>2</v>
          </cell>
          <cell r="AH137" t="str">
            <v>P</v>
          </cell>
          <cell r="AI137">
            <v>0</v>
          </cell>
          <cell r="AJ137">
            <v>2</v>
          </cell>
          <cell r="AK137" t="str">
            <v>S</v>
          </cell>
          <cell r="AL137">
            <v>0</v>
          </cell>
          <cell r="AM137">
            <v>4.5</v>
          </cell>
          <cell r="AN137" t="str">
            <v>P</v>
          </cell>
          <cell r="AO137">
            <v>0</v>
          </cell>
          <cell r="AP137">
            <v>2</v>
          </cell>
          <cell r="AQ137" t="str">
            <v>P</v>
          </cell>
          <cell r="AR137">
            <v>0</v>
          </cell>
          <cell r="AS137">
            <v>2</v>
          </cell>
          <cell r="AT137" t="str">
            <v>P</v>
          </cell>
          <cell r="AU137">
            <v>0</v>
          </cell>
          <cell r="AV137">
            <v>2</v>
          </cell>
          <cell r="AW137" t="str">
            <v>P</v>
          </cell>
          <cell r="AX137">
            <v>0</v>
          </cell>
          <cell r="AY137">
            <v>2</v>
          </cell>
          <cell r="AZ137" t="str">
            <v>P</v>
          </cell>
          <cell r="BA137">
            <v>0</v>
          </cell>
          <cell r="BB137">
            <v>2</v>
          </cell>
          <cell r="BC137" t="str">
            <v>P</v>
          </cell>
          <cell r="BD137">
            <v>0</v>
          </cell>
          <cell r="BE137">
            <v>2</v>
          </cell>
          <cell r="BF137" t="str">
            <v>S</v>
          </cell>
          <cell r="BG137">
            <v>0</v>
          </cell>
          <cell r="BH137">
            <v>4</v>
          </cell>
          <cell r="BI137" t="str">
            <v>P</v>
          </cell>
          <cell r="BJ137">
            <v>0</v>
          </cell>
          <cell r="BK137">
            <v>2</v>
          </cell>
          <cell r="BL137" t="str">
            <v>P</v>
          </cell>
          <cell r="BM137">
            <v>0</v>
          </cell>
          <cell r="BN137">
            <v>2</v>
          </cell>
          <cell r="BO137" t="str">
            <v>P</v>
          </cell>
          <cell r="BP137">
            <v>0</v>
          </cell>
          <cell r="BQ137">
            <v>2</v>
          </cell>
          <cell r="BR137" t="str">
            <v>P</v>
          </cell>
          <cell r="BS137">
            <v>0</v>
          </cell>
          <cell r="BT137">
            <v>2</v>
          </cell>
          <cell r="BU137" t="str">
            <v>P</v>
          </cell>
          <cell r="BV137">
            <v>0</v>
          </cell>
          <cell r="BW137">
            <v>2</v>
          </cell>
          <cell r="BX137" t="str">
            <v>P</v>
          </cell>
          <cell r="BY137">
            <v>0</v>
          </cell>
          <cell r="BZ137">
            <v>2</v>
          </cell>
          <cell r="CA137" t="str">
            <v>S</v>
          </cell>
          <cell r="CB137">
            <v>0</v>
          </cell>
          <cell r="CC137">
            <v>0</v>
          </cell>
          <cell r="CD137" t="str">
            <v>P</v>
          </cell>
          <cell r="CE137">
            <v>0</v>
          </cell>
          <cell r="CF137">
            <v>2</v>
          </cell>
          <cell r="CG137" t="str">
            <v>P</v>
          </cell>
          <cell r="CH137">
            <v>0</v>
          </cell>
          <cell r="CI137">
            <v>2</v>
          </cell>
          <cell r="CJ137" t="str">
            <v>P</v>
          </cell>
          <cell r="CK137">
            <v>0</v>
          </cell>
          <cell r="CL137">
            <v>2</v>
          </cell>
          <cell r="CM137" t="str">
            <v>P</v>
          </cell>
          <cell r="CN137">
            <v>0</v>
          </cell>
          <cell r="CO137">
            <v>2.5</v>
          </cell>
          <cell r="CP137" t="str">
            <v>P</v>
          </cell>
          <cell r="CQ137">
            <v>0</v>
          </cell>
          <cell r="CR137">
            <v>3.5</v>
          </cell>
          <cell r="CS137" t="str">
            <v>P</v>
          </cell>
          <cell r="CT137">
            <v>0</v>
          </cell>
          <cell r="CU137">
            <v>2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24</v>
          </cell>
          <cell r="DG137">
            <v>0</v>
          </cell>
          <cell r="DH137">
            <v>64.2</v>
          </cell>
          <cell r="DI137">
            <v>0</v>
          </cell>
          <cell r="DJ137">
            <v>0</v>
          </cell>
          <cell r="DK137">
            <v>0</v>
          </cell>
          <cell r="DL137">
            <v>4</v>
          </cell>
          <cell r="DM137">
            <v>24</v>
          </cell>
          <cell r="DN137">
            <v>28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</row>
        <row r="138">
          <cell r="D138" t="str">
            <v>CFCP0185</v>
          </cell>
          <cell r="E138">
            <v>0</v>
          </cell>
          <cell r="F138">
            <v>0</v>
          </cell>
          <cell r="G138" t="str">
            <v>Sandeep Kumar Basudev</v>
          </cell>
          <cell r="H138" t="str">
            <v>Direct Labour Wage</v>
          </cell>
          <cell r="I138">
            <v>0</v>
          </cell>
          <cell r="J138" t="str">
            <v>Core Factory</v>
          </cell>
          <cell r="K138" t="str">
            <v>Coil Winding</v>
          </cell>
          <cell r="L138" t="str">
            <v>Coil - Set</v>
          </cell>
          <cell r="M138" t="str">
            <v>Operator</v>
          </cell>
          <cell r="N138">
            <v>42366</v>
          </cell>
          <cell r="O138">
            <v>2.7397260273972603E-3</v>
          </cell>
          <cell r="P138" t="str">
            <v>S</v>
          </cell>
          <cell r="Q138">
            <v>0</v>
          </cell>
          <cell r="R138">
            <v>0</v>
          </cell>
          <cell r="S138" t="str">
            <v>T</v>
          </cell>
          <cell r="T138">
            <v>0</v>
          </cell>
          <cell r="U138">
            <v>0</v>
          </cell>
          <cell r="V138" t="str">
            <v>T</v>
          </cell>
          <cell r="W138">
            <v>0</v>
          </cell>
          <cell r="X138">
            <v>0</v>
          </cell>
          <cell r="Y138" t="str">
            <v>T</v>
          </cell>
          <cell r="Z138">
            <v>0</v>
          </cell>
          <cell r="AA138">
            <v>0</v>
          </cell>
          <cell r="AB138" t="str">
            <v>T</v>
          </cell>
          <cell r="AC138">
            <v>0</v>
          </cell>
          <cell r="AD138">
            <v>0</v>
          </cell>
          <cell r="AE138" t="str">
            <v>T</v>
          </cell>
          <cell r="AF138">
            <v>0</v>
          </cell>
          <cell r="AG138">
            <v>0</v>
          </cell>
          <cell r="AH138" t="str">
            <v>T</v>
          </cell>
          <cell r="AI138">
            <v>0</v>
          </cell>
          <cell r="AJ138">
            <v>0</v>
          </cell>
          <cell r="AK138" t="str">
            <v>T</v>
          </cell>
          <cell r="AL138">
            <v>0</v>
          </cell>
          <cell r="AM138">
            <v>0</v>
          </cell>
          <cell r="AN138" t="str">
            <v>T</v>
          </cell>
          <cell r="AO138">
            <v>0</v>
          </cell>
          <cell r="AP138">
            <v>0</v>
          </cell>
          <cell r="AQ138" t="str">
            <v>T</v>
          </cell>
          <cell r="AR138">
            <v>0</v>
          </cell>
          <cell r="AS138">
            <v>0</v>
          </cell>
          <cell r="AT138" t="str">
            <v>T</v>
          </cell>
          <cell r="AU138">
            <v>0</v>
          </cell>
          <cell r="AV138">
            <v>0</v>
          </cell>
          <cell r="AW138" t="str">
            <v>T</v>
          </cell>
          <cell r="AX138">
            <v>0</v>
          </cell>
          <cell r="AY138">
            <v>0</v>
          </cell>
          <cell r="AZ138" t="str">
            <v>T</v>
          </cell>
          <cell r="BA138">
            <v>0</v>
          </cell>
          <cell r="BB138">
            <v>0</v>
          </cell>
          <cell r="BC138" t="str">
            <v>T</v>
          </cell>
          <cell r="BD138">
            <v>0</v>
          </cell>
          <cell r="BE138">
            <v>0</v>
          </cell>
          <cell r="BF138" t="str">
            <v>T</v>
          </cell>
          <cell r="BG138">
            <v>0</v>
          </cell>
          <cell r="BH138">
            <v>0</v>
          </cell>
          <cell r="BI138" t="str">
            <v>T</v>
          </cell>
          <cell r="BJ138">
            <v>0</v>
          </cell>
          <cell r="BK138">
            <v>0</v>
          </cell>
          <cell r="BL138" t="str">
            <v>T</v>
          </cell>
          <cell r="BM138">
            <v>0</v>
          </cell>
          <cell r="BN138">
            <v>0</v>
          </cell>
          <cell r="BO138" t="str">
            <v>T</v>
          </cell>
          <cell r="BP138">
            <v>0</v>
          </cell>
          <cell r="BQ138">
            <v>0</v>
          </cell>
          <cell r="BR138" t="str">
            <v>T</v>
          </cell>
          <cell r="BS138">
            <v>0</v>
          </cell>
          <cell r="BT138">
            <v>0</v>
          </cell>
          <cell r="BU138" t="str">
            <v>T</v>
          </cell>
          <cell r="BV138">
            <v>0</v>
          </cell>
          <cell r="BW138">
            <v>0</v>
          </cell>
          <cell r="BX138" t="str">
            <v>T</v>
          </cell>
          <cell r="BY138">
            <v>0</v>
          </cell>
          <cell r="BZ138">
            <v>0</v>
          </cell>
          <cell r="CA138" t="str">
            <v>T</v>
          </cell>
          <cell r="CB138">
            <v>0</v>
          </cell>
          <cell r="CC138">
            <v>0</v>
          </cell>
          <cell r="CD138" t="str">
            <v>T</v>
          </cell>
          <cell r="CE138">
            <v>0</v>
          </cell>
          <cell r="CF138">
            <v>0</v>
          </cell>
          <cell r="CG138" t="str">
            <v>T</v>
          </cell>
          <cell r="CH138">
            <v>0</v>
          </cell>
          <cell r="CI138">
            <v>0</v>
          </cell>
          <cell r="CJ138" t="str">
            <v>T</v>
          </cell>
          <cell r="CK138">
            <v>0</v>
          </cell>
          <cell r="CL138">
            <v>0</v>
          </cell>
          <cell r="CM138" t="str">
            <v>T</v>
          </cell>
          <cell r="CN138">
            <v>0</v>
          </cell>
          <cell r="CO138">
            <v>0</v>
          </cell>
          <cell r="CP138" t="str">
            <v>T</v>
          </cell>
          <cell r="CQ138">
            <v>0</v>
          </cell>
          <cell r="CR138">
            <v>0</v>
          </cell>
          <cell r="CS138" t="str">
            <v>T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1</v>
          </cell>
          <cell r="DM138">
            <v>0</v>
          </cell>
          <cell r="DN138">
            <v>28</v>
          </cell>
          <cell r="DO138">
            <v>27</v>
          </cell>
          <cell r="DP138">
            <v>0</v>
          </cell>
          <cell r="DQ138">
            <v>0</v>
          </cell>
          <cell r="DR138">
            <v>0</v>
          </cell>
        </row>
        <row r="139">
          <cell r="D139" t="str">
            <v>CFCP0407</v>
          </cell>
          <cell r="E139">
            <v>0</v>
          </cell>
          <cell r="F139">
            <v>0</v>
          </cell>
          <cell r="G139" t="str">
            <v>Monu Heera Lal</v>
          </cell>
          <cell r="H139" t="str">
            <v>Direct Labour Wage</v>
          </cell>
          <cell r="I139">
            <v>0</v>
          </cell>
          <cell r="J139" t="str">
            <v>Core Factory</v>
          </cell>
          <cell r="K139" t="str">
            <v>Coil Winding</v>
          </cell>
          <cell r="L139" t="str">
            <v>Hand Winding</v>
          </cell>
          <cell r="M139" t="str">
            <v>Operator</v>
          </cell>
          <cell r="N139">
            <v>44880</v>
          </cell>
          <cell r="O139">
            <v>3.3068493150684932</v>
          </cell>
          <cell r="P139" t="str">
            <v>T</v>
          </cell>
          <cell r="Q139">
            <v>0</v>
          </cell>
          <cell r="R139">
            <v>0</v>
          </cell>
          <cell r="S139" t="str">
            <v>T</v>
          </cell>
          <cell r="T139">
            <v>0</v>
          </cell>
          <cell r="U139">
            <v>0</v>
          </cell>
          <cell r="V139" t="str">
            <v>T</v>
          </cell>
          <cell r="W139">
            <v>0</v>
          </cell>
          <cell r="X139">
            <v>0</v>
          </cell>
          <cell r="Y139" t="str">
            <v>T</v>
          </cell>
          <cell r="Z139">
            <v>0</v>
          </cell>
          <cell r="AA139">
            <v>0</v>
          </cell>
          <cell r="AB139" t="str">
            <v>T</v>
          </cell>
          <cell r="AC139">
            <v>0</v>
          </cell>
          <cell r="AD139">
            <v>0</v>
          </cell>
          <cell r="AE139" t="str">
            <v>T</v>
          </cell>
          <cell r="AF139">
            <v>0</v>
          </cell>
          <cell r="AG139">
            <v>0</v>
          </cell>
          <cell r="AH139" t="str">
            <v>T</v>
          </cell>
          <cell r="AI139">
            <v>0</v>
          </cell>
          <cell r="AJ139">
            <v>0</v>
          </cell>
          <cell r="AK139" t="str">
            <v>T</v>
          </cell>
          <cell r="AL139">
            <v>0</v>
          </cell>
          <cell r="AM139">
            <v>0</v>
          </cell>
          <cell r="AN139" t="str">
            <v>T</v>
          </cell>
          <cell r="AO139">
            <v>0</v>
          </cell>
          <cell r="AP139">
            <v>0</v>
          </cell>
          <cell r="AQ139" t="str">
            <v>T</v>
          </cell>
          <cell r="AR139">
            <v>0</v>
          </cell>
          <cell r="AS139">
            <v>0</v>
          </cell>
          <cell r="AT139" t="str">
            <v>T</v>
          </cell>
          <cell r="AU139">
            <v>0</v>
          </cell>
          <cell r="AV139">
            <v>0</v>
          </cell>
          <cell r="AW139" t="str">
            <v>T</v>
          </cell>
          <cell r="AX139">
            <v>0</v>
          </cell>
          <cell r="AY139">
            <v>0</v>
          </cell>
          <cell r="AZ139" t="str">
            <v>T</v>
          </cell>
          <cell r="BA139">
            <v>0</v>
          </cell>
          <cell r="BB139">
            <v>0</v>
          </cell>
          <cell r="BC139" t="str">
            <v>T</v>
          </cell>
          <cell r="BD139">
            <v>0</v>
          </cell>
          <cell r="BE139">
            <v>0</v>
          </cell>
          <cell r="BF139" t="str">
            <v>T</v>
          </cell>
          <cell r="BG139">
            <v>0</v>
          </cell>
          <cell r="BH139">
            <v>0</v>
          </cell>
          <cell r="BI139" t="str">
            <v>T</v>
          </cell>
          <cell r="BJ139">
            <v>0</v>
          </cell>
          <cell r="BK139">
            <v>0</v>
          </cell>
          <cell r="BL139" t="str">
            <v>T</v>
          </cell>
          <cell r="BM139">
            <v>0</v>
          </cell>
          <cell r="BN139">
            <v>0</v>
          </cell>
          <cell r="BO139" t="str">
            <v>T</v>
          </cell>
          <cell r="BP139">
            <v>0</v>
          </cell>
          <cell r="BQ139">
            <v>0</v>
          </cell>
          <cell r="BR139" t="str">
            <v>T</v>
          </cell>
          <cell r="BS139">
            <v>0</v>
          </cell>
          <cell r="BT139">
            <v>0</v>
          </cell>
          <cell r="BU139" t="str">
            <v>T</v>
          </cell>
          <cell r="BV139">
            <v>0</v>
          </cell>
          <cell r="BW139">
            <v>0</v>
          </cell>
          <cell r="BX139" t="str">
            <v>T</v>
          </cell>
          <cell r="BY139">
            <v>0</v>
          </cell>
          <cell r="BZ139">
            <v>0</v>
          </cell>
          <cell r="CA139" t="str">
            <v>T</v>
          </cell>
          <cell r="CB139">
            <v>0</v>
          </cell>
          <cell r="CC139">
            <v>0</v>
          </cell>
          <cell r="CD139" t="str">
            <v>T</v>
          </cell>
          <cell r="CE139">
            <v>0</v>
          </cell>
          <cell r="CF139">
            <v>0</v>
          </cell>
          <cell r="CG139" t="str">
            <v>T</v>
          </cell>
          <cell r="CH139">
            <v>0</v>
          </cell>
          <cell r="CI139">
            <v>0</v>
          </cell>
          <cell r="CJ139" t="str">
            <v>A</v>
          </cell>
          <cell r="CK139">
            <v>0</v>
          </cell>
          <cell r="CL139">
            <v>0</v>
          </cell>
          <cell r="CM139" t="str">
            <v>T</v>
          </cell>
          <cell r="CN139">
            <v>0</v>
          </cell>
          <cell r="CO139">
            <v>0</v>
          </cell>
          <cell r="CP139" t="str">
            <v>T</v>
          </cell>
          <cell r="CQ139">
            <v>0</v>
          </cell>
          <cell r="CR139">
            <v>0</v>
          </cell>
          <cell r="CS139" t="str">
            <v>T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1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28</v>
          </cell>
          <cell r="DO139">
            <v>27</v>
          </cell>
          <cell r="DP139">
            <v>0</v>
          </cell>
          <cell r="DQ139">
            <v>0</v>
          </cell>
          <cell r="DR139">
            <v>0</v>
          </cell>
        </row>
        <row r="140">
          <cell r="D140" t="str">
            <v>SHE415</v>
          </cell>
          <cell r="E140">
            <v>0</v>
          </cell>
          <cell r="F140">
            <v>0</v>
          </cell>
          <cell r="G140" t="str">
            <v>Ram Raj Sundar</v>
          </cell>
          <cell r="H140" t="str">
            <v>Direct Labour Wage</v>
          </cell>
          <cell r="I140">
            <v>0</v>
          </cell>
          <cell r="J140" t="str">
            <v>Core Factory</v>
          </cell>
          <cell r="K140" t="str">
            <v>Core</v>
          </cell>
          <cell r="L140" t="str">
            <v>Core Winding</v>
          </cell>
          <cell r="M140" t="str">
            <v>Helper</v>
          </cell>
          <cell r="N140">
            <v>46015</v>
          </cell>
          <cell r="O140">
            <v>0.19726027397260273</v>
          </cell>
          <cell r="P140" t="str">
            <v>S</v>
          </cell>
          <cell r="Q140">
            <v>0</v>
          </cell>
          <cell r="R140">
            <v>5.5</v>
          </cell>
          <cell r="S140" t="str">
            <v>P</v>
          </cell>
          <cell r="T140">
            <v>0</v>
          </cell>
          <cell r="U140">
            <v>2</v>
          </cell>
          <cell r="V140" t="str">
            <v>P</v>
          </cell>
          <cell r="W140">
            <v>0</v>
          </cell>
          <cell r="X140">
            <v>2</v>
          </cell>
          <cell r="Y140" t="str">
            <v>P</v>
          </cell>
          <cell r="Z140">
            <v>0</v>
          </cell>
          <cell r="AA140">
            <v>2</v>
          </cell>
          <cell r="AB140" t="str">
            <v>P</v>
          </cell>
          <cell r="AC140">
            <v>0</v>
          </cell>
          <cell r="AD140">
            <v>2</v>
          </cell>
          <cell r="AE140" t="str">
            <v>P</v>
          </cell>
          <cell r="AF140">
            <v>0</v>
          </cell>
          <cell r="AG140">
            <v>2</v>
          </cell>
          <cell r="AH140" t="str">
            <v>P</v>
          </cell>
          <cell r="AI140">
            <v>0</v>
          </cell>
          <cell r="AJ140">
            <v>2</v>
          </cell>
          <cell r="AK140" t="str">
            <v>S</v>
          </cell>
          <cell r="AL140">
            <v>0</v>
          </cell>
          <cell r="AM140">
            <v>5.5</v>
          </cell>
          <cell r="AN140" t="str">
            <v>P</v>
          </cell>
          <cell r="AO140">
            <v>0</v>
          </cell>
          <cell r="AP140">
            <v>2</v>
          </cell>
          <cell r="AQ140" t="str">
            <v>P</v>
          </cell>
          <cell r="AR140">
            <v>0</v>
          </cell>
          <cell r="AS140">
            <v>2</v>
          </cell>
          <cell r="AT140" t="str">
            <v>P</v>
          </cell>
          <cell r="AU140">
            <v>0</v>
          </cell>
          <cell r="AV140">
            <v>2</v>
          </cell>
          <cell r="AW140" t="str">
            <v>P</v>
          </cell>
          <cell r="AX140">
            <v>0</v>
          </cell>
          <cell r="AY140">
            <v>2.5</v>
          </cell>
          <cell r="AZ140" t="str">
            <v>P</v>
          </cell>
          <cell r="BA140">
            <v>0</v>
          </cell>
          <cell r="BB140">
            <v>2</v>
          </cell>
          <cell r="BC140" t="str">
            <v>P</v>
          </cell>
          <cell r="BD140">
            <v>0</v>
          </cell>
          <cell r="BE140">
            <v>2</v>
          </cell>
          <cell r="BF140" t="str">
            <v>S</v>
          </cell>
          <cell r="BG140">
            <v>0</v>
          </cell>
          <cell r="BH140">
            <v>5.5</v>
          </cell>
          <cell r="BI140" t="str">
            <v>P</v>
          </cell>
          <cell r="BJ140">
            <v>0</v>
          </cell>
          <cell r="BK140">
            <v>1.5</v>
          </cell>
          <cell r="BL140" t="str">
            <v>P</v>
          </cell>
          <cell r="BM140">
            <v>0</v>
          </cell>
          <cell r="BN140">
            <v>2</v>
          </cell>
          <cell r="BO140" t="str">
            <v>P</v>
          </cell>
          <cell r="BP140">
            <v>0</v>
          </cell>
          <cell r="BQ140">
            <v>2</v>
          </cell>
          <cell r="BR140" t="str">
            <v>P</v>
          </cell>
          <cell r="BS140">
            <v>0</v>
          </cell>
          <cell r="BT140">
            <v>2</v>
          </cell>
          <cell r="BU140" t="str">
            <v>P</v>
          </cell>
          <cell r="BV140">
            <v>0</v>
          </cell>
          <cell r="BW140">
            <v>2</v>
          </cell>
          <cell r="BX140" t="str">
            <v>P</v>
          </cell>
          <cell r="BY140">
            <v>0</v>
          </cell>
          <cell r="BZ140">
            <v>2</v>
          </cell>
          <cell r="CA140" t="str">
            <v>S</v>
          </cell>
          <cell r="CB140">
            <v>0</v>
          </cell>
          <cell r="CC140">
            <v>5.5</v>
          </cell>
          <cell r="CD140" t="str">
            <v>P</v>
          </cell>
          <cell r="CE140">
            <v>0</v>
          </cell>
          <cell r="CF140">
            <v>2</v>
          </cell>
          <cell r="CG140" t="str">
            <v>P</v>
          </cell>
          <cell r="CH140">
            <v>0</v>
          </cell>
          <cell r="CI140">
            <v>2</v>
          </cell>
          <cell r="CJ140" t="str">
            <v>P</v>
          </cell>
          <cell r="CK140">
            <v>0</v>
          </cell>
          <cell r="CL140">
            <v>2</v>
          </cell>
          <cell r="CM140" t="str">
            <v>P</v>
          </cell>
          <cell r="CN140">
            <v>0</v>
          </cell>
          <cell r="CO140">
            <v>2</v>
          </cell>
          <cell r="CP140" t="str">
            <v>P</v>
          </cell>
          <cell r="CQ140">
            <v>0</v>
          </cell>
          <cell r="CR140">
            <v>2.5</v>
          </cell>
          <cell r="CS140" t="str">
            <v>P</v>
          </cell>
          <cell r="CT140">
            <v>0</v>
          </cell>
          <cell r="CU140">
            <v>2.5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24</v>
          </cell>
          <cell r="DG140">
            <v>0</v>
          </cell>
          <cell r="DH140">
            <v>71</v>
          </cell>
          <cell r="DI140">
            <v>0</v>
          </cell>
          <cell r="DJ140">
            <v>0</v>
          </cell>
          <cell r="DK140">
            <v>0</v>
          </cell>
          <cell r="DL140">
            <v>4</v>
          </cell>
          <cell r="DM140">
            <v>24</v>
          </cell>
          <cell r="DN140">
            <v>28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</row>
        <row r="141">
          <cell r="D141" t="str">
            <v>CFCP0084</v>
          </cell>
          <cell r="E141">
            <v>0</v>
          </cell>
          <cell r="F141">
            <v>0</v>
          </cell>
          <cell r="G141" t="str">
            <v>Vasudev Ramdayal Saroj</v>
          </cell>
          <cell r="H141" t="str">
            <v>Direct Labour Wage</v>
          </cell>
          <cell r="I141">
            <v>0</v>
          </cell>
          <cell r="J141" t="str">
            <v>Core Factory</v>
          </cell>
          <cell r="K141" t="str">
            <v>Coil Winding</v>
          </cell>
          <cell r="L141" t="str">
            <v>Primary Set</v>
          </cell>
          <cell r="M141" t="str">
            <v>Operator</v>
          </cell>
          <cell r="N141">
            <v>42005</v>
          </cell>
          <cell r="O141">
            <v>11.183561643835617</v>
          </cell>
          <cell r="P141" t="str">
            <v>T</v>
          </cell>
          <cell r="Q141">
            <v>0</v>
          </cell>
          <cell r="R141">
            <v>0</v>
          </cell>
          <cell r="S141" t="str">
            <v>T</v>
          </cell>
          <cell r="T141">
            <v>0</v>
          </cell>
          <cell r="U141">
            <v>0</v>
          </cell>
          <cell r="V141" t="str">
            <v>T</v>
          </cell>
          <cell r="W141">
            <v>0</v>
          </cell>
          <cell r="X141">
            <v>0</v>
          </cell>
          <cell r="Y141" t="str">
            <v>T</v>
          </cell>
          <cell r="Z141">
            <v>0</v>
          </cell>
          <cell r="AA141">
            <v>0</v>
          </cell>
          <cell r="AB141" t="str">
            <v>T</v>
          </cell>
          <cell r="AC141">
            <v>0</v>
          </cell>
          <cell r="AD141">
            <v>0</v>
          </cell>
          <cell r="AE141" t="str">
            <v>T</v>
          </cell>
          <cell r="AF141">
            <v>0</v>
          </cell>
          <cell r="AG141">
            <v>0</v>
          </cell>
          <cell r="AH141" t="str">
            <v>T</v>
          </cell>
          <cell r="AI141">
            <v>0</v>
          </cell>
          <cell r="AJ141">
            <v>0</v>
          </cell>
          <cell r="AK141" t="str">
            <v>T</v>
          </cell>
          <cell r="AL141">
            <v>0</v>
          </cell>
          <cell r="AM141">
            <v>0</v>
          </cell>
          <cell r="AN141" t="str">
            <v>T</v>
          </cell>
          <cell r="AO141">
            <v>0</v>
          </cell>
          <cell r="AP141">
            <v>0</v>
          </cell>
          <cell r="AQ141" t="str">
            <v>T</v>
          </cell>
          <cell r="AR141">
            <v>0</v>
          </cell>
          <cell r="AS141">
            <v>0</v>
          </cell>
          <cell r="AT141" t="str">
            <v>T</v>
          </cell>
          <cell r="AU141">
            <v>0</v>
          </cell>
          <cell r="AV141">
            <v>0</v>
          </cell>
          <cell r="AW141" t="str">
            <v>T</v>
          </cell>
          <cell r="AX141">
            <v>0</v>
          </cell>
          <cell r="AY141">
            <v>0</v>
          </cell>
          <cell r="AZ141" t="str">
            <v>T</v>
          </cell>
          <cell r="BA141">
            <v>0</v>
          </cell>
          <cell r="BB141">
            <v>0</v>
          </cell>
          <cell r="BC141" t="str">
            <v>T</v>
          </cell>
          <cell r="BD141">
            <v>0</v>
          </cell>
          <cell r="BE141">
            <v>0</v>
          </cell>
          <cell r="BF141" t="str">
            <v>T</v>
          </cell>
          <cell r="BG141">
            <v>0</v>
          </cell>
          <cell r="BH141">
            <v>0</v>
          </cell>
          <cell r="BI141" t="str">
            <v>T</v>
          </cell>
          <cell r="BJ141">
            <v>0</v>
          </cell>
          <cell r="BK141">
            <v>0</v>
          </cell>
          <cell r="BL141" t="str">
            <v>T</v>
          </cell>
          <cell r="BM141">
            <v>0</v>
          </cell>
          <cell r="BN141">
            <v>0</v>
          </cell>
          <cell r="BO141" t="str">
            <v>T</v>
          </cell>
          <cell r="BP141">
            <v>0</v>
          </cell>
          <cell r="BQ141">
            <v>0</v>
          </cell>
          <cell r="BR141" t="str">
            <v>T</v>
          </cell>
          <cell r="BS141">
            <v>0</v>
          </cell>
          <cell r="BT141">
            <v>0</v>
          </cell>
          <cell r="BU141" t="str">
            <v>T</v>
          </cell>
          <cell r="BV141">
            <v>0</v>
          </cell>
          <cell r="BW141">
            <v>0</v>
          </cell>
          <cell r="BX141" t="str">
            <v>T</v>
          </cell>
          <cell r="BY141">
            <v>0</v>
          </cell>
          <cell r="BZ141">
            <v>0</v>
          </cell>
          <cell r="CA141" t="str">
            <v>T</v>
          </cell>
          <cell r="CB141">
            <v>0</v>
          </cell>
          <cell r="CC141">
            <v>0</v>
          </cell>
          <cell r="CD141" t="str">
            <v>T</v>
          </cell>
          <cell r="CE141">
            <v>0</v>
          </cell>
          <cell r="CF141">
            <v>0</v>
          </cell>
          <cell r="CG141" t="str">
            <v>T</v>
          </cell>
          <cell r="CH141">
            <v>0</v>
          </cell>
          <cell r="CI141">
            <v>0</v>
          </cell>
          <cell r="CJ141" t="str">
            <v>T</v>
          </cell>
          <cell r="CK141">
            <v>0</v>
          </cell>
          <cell r="CL141">
            <v>0</v>
          </cell>
          <cell r="CM141" t="str">
            <v>T</v>
          </cell>
          <cell r="CN141">
            <v>0</v>
          </cell>
          <cell r="CO141">
            <v>0</v>
          </cell>
          <cell r="CP141" t="str">
            <v>T</v>
          </cell>
          <cell r="CQ141">
            <v>0</v>
          </cell>
          <cell r="CR141">
            <v>0</v>
          </cell>
          <cell r="CS141" t="str">
            <v>T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28</v>
          </cell>
          <cell r="DO141">
            <v>28</v>
          </cell>
          <cell r="DP141">
            <v>0</v>
          </cell>
          <cell r="DQ141">
            <v>0</v>
          </cell>
          <cell r="DR141">
            <v>0</v>
          </cell>
        </row>
        <row r="142">
          <cell r="D142" t="str">
            <v>NUC0160</v>
          </cell>
          <cell r="E142">
            <v>0</v>
          </cell>
          <cell r="F142">
            <v>0</v>
          </cell>
          <cell r="G142" t="str">
            <v>Ashish Ramesh</v>
          </cell>
          <cell r="H142" t="str">
            <v>Direct Labour Wage</v>
          </cell>
          <cell r="I142">
            <v>0</v>
          </cell>
          <cell r="J142" t="str">
            <v>Core Factory</v>
          </cell>
          <cell r="K142" t="str">
            <v>Core</v>
          </cell>
          <cell r="L142" t="str">
            <v>Furnace</v>
          </cell>
          <cell r="M142" t="str">
            <v>Helper</v>
          </cell>
          <cell r="N142">
            <v>44926</v>
          </cell>
          <cell r="O142">
            <v>3.1808219178082191</v>
          </cell>
          <cell r="P142" t="str">
            <v>S</v>
          </cell>
          <cell r="Q142">
            <v>0</v>
          </cell>
          <cell r="R142">
            <v>10</v>
          </cell>
          <cell r="S142" t="str">
            <v>P</v>
          </cell>
          <cell r="T142">
            <v>0</v>
          </cell>
          <cell r="U142">
            <v>2.5</v>
          </cell>
          <cell r="V142" t="str">
            <v>P</v>
          </cell>
          <cell r="W142">
            <v>0</v>
          </cell>
          <cell r="X142">
            <v>2.5</v>
          </cell>
          <cell r="Y142" t="str">
            <v>P</v>
          </cell>
          <cell r="Z142">
            <v>0</v>
          </cell>
          <cell r="AA142">
            <v>2.5</v>
          </cell>
          <cell r="AB142" t="str">
            <v>T</v>
          </cell>
          <cell r="AC142">
            <v>0</v>
          </cell>
          <cell r="AD142">
            <v>0</v>
          </cell>
          <cell r="AE142" t="str">
            <v>T</v>
          </cell>
          <cell r="AF142">
            <v>0</v>
          </cell>
          <cell r="AG142">
            <v>0</v>
          </cell>
          <cell r="AH142" t="str">
            <v>T</v>
          </cell>
          <cell r="AI142">
            <v>0</v>
          </cell>
          <cell r="AJ142">
            <v>0</v>
          </cell>
          <cell r="AK142" t="str">
            <v>T</v>
          </cell>
          <cell r="AL142">
            <v>0</v>
          </cell>
          <cell r="AM142">
            <v>0</v>
          </cell>
          <cell r="AN142" t="str">
            <v>T</v>
          </cell>
          <cell r="AO142">
            <v>0</v>
          </cell>
          <cell r="AP142">
            <v>0</v>
          </cell>
          <cell r="AQ142" t="str">
            <v>T</v>
          </cell>
          <cell r="AR142">
            <v>0</v>
          </cell>
          <cell r="AS142">
            <v>0</v>
          </cell>
          <cell r="AT142" t="str">
            <v>T</v>
          </cell>
          <cell r="AU142">
            <v>0</v>
          </cell>
          <cell r="AV142">
            <v>0</v>
          </cell>
          <cell r="AW142" t="str">
            <v>T</v>
          </cell>
          <cell r="AX142">
            <v>0</v>
          </cell>
          <cell r="AY142">
            <v>0</v>
          </cell>
          <cell r="AZ142" t="str">
            <v>T</v>
          </cell>
          <cell r="BA142">
            <v>0</v>
          </cell>
          <cell r="BB142">
            <v>0</v>
          </cell>
          <cell r="BC142" t="str">
            <v>P</v>
          </cell>
          <cell r="BD142">
            <v>0</v>
          </cell>
          <cell r="BE142">
            <v>2.5</v>
          </cell>
          <cell r="BF142" t="str">
            <v>T</v>
          </cell>
          <cell r="BG142">
            <v>0</v>
          </cell>
          <cell r="BH142">
            <v>0</v>
          </cell>
          <cell r="BI142" t="str">
            <v>T</v>
          </cell>
          <cell r="BJ142">
            <v>0</v>
          </cell>
          <cell r="BK142">
            <v>0</v>
          </cell>
          <cell r="BL142" t="str">
            <v>T</v>
          </cell>
          <cell r="BM142">
            <v>0</v>
          </cell>
          <cell r="BN142">
            <v>0</v>
          </cell>
          <cell r="BO142" t="str">
            <v>T</v>
          </cell>
          <cell r="BP142">
            <v>0</v>
          </cell>
          <cell r="BQ142">
            <v>0</v>
          </cell>
          <cell r="BR142" t="str">
            <v>T</v>
          </cell>
          <cell r="BS142">
            <v>0</v>
          </cell>
          <cell r="BT142">
            <v>0</v>
          </cell>
          <cell r="BU142" t="str">
            <v>T</v>
          </cell>
          <cell r="BV142">
            <v>0</v>
          </cell>
          <cell r="BW142">
            <v>0</v>
          </cell>
          <cell r="BX142" t="str">
            <v>T</v>
          </cell>
          <cell r="BY142">
            <v>0</v>
          </cell>
          <cell r="BZ142">
            <v>0</v>
          </cell>
          <cell r="CA142" t="str">
            <v>S</v>
          </cell>
          <cell r="CB142">
            <v>0</v>
          </cell>
          <cell r="CC142">
            <v>10.5</v>
          </cell>
          <cell r="CD142" t="str">
            <v>T</v>
          </cell>
          <cell r="CE142">
            <v>0</v>
          </cell>
          <cell r="CF142">
            <v>0</v>
          </cell>
          <cell r="CG142" t="str">
            <v>P</v>
          </cell>
          <cell r="CH142">
            <v>0</v>
          </cell>
          <cell r="CI142">
            <v>2.5</v>
          </cell>
          <cell r="CJ142" t="str">
            <v>T</v>
          </cell>
          <cell r="CK142">
            <v>0</v>
          </cell>
          <cell r="CL142">
            <v>0</v>
          </cell>
          <cell r="CM142" t="str">
            <v>T</v>
          </cell>
          <cell r="CN142">
            <v>0</v>
          </cell>
          <cell r="CO142">
            <v>0</v>
          </cell>
          <cell r="CP142" t="str">
            <v>P</v>
          </cell>
          <cell r="CQ142">
            <v>0</v>
          </cell>
          <cell r="CR142">
            <v>2.5</v>
          </cell>
          <cell r="CS142" t="str">
            <v>P</v>
          </cell>
          <cell r="CT142">
            <v>0</v>
          </cell>
          <cell r="CU142">
            <v>2.5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7</v>
          </cell>
          <cell r="DG142">
            <v>0</v>
          </cell>
          <cell r="DH142">
            <v>38</v>
          </cell>
          <cell r="DI142">
            <v>0</v>
          </cell>
          <cell r="DJ142">
            <v>0</v>
          </cell>
          <cell r="DK142">
            <v>0</v>
          </cell>
          <cell r="DL142">
            <v>2</v>
          </cell>
          <cell r="DM142">
            <v>7</v>
          </cell>
          <cell r="DN142">
            <v>28</v>
          </cell>
          <cell r="DO142">
            <v>19</v>
          </cell>
          <cell r="DP142">
            <v>0</v>
          </cell>
          <cell r="DQ142">
            <v>0</v>
          </cell>
          <cell r="DR142">
            <v>0</v>
          </cell>
        </row>
        <row r="143">
          <cell r="D143" t="str">
            <v>SHE421</v>
          </cell>
          <cell r="E143">
            <v>0</v>
          </cell>
          <cell r="F143">
            <v>0</v>
          </cell>
          <cell r="G143" t="str">
            <v>Sateesh Shiv Shankar Tiwari</v>
          </cell>
          <cell r="H143" t="str">
            <v>InDirect Labour Wage</v>
          </cell>
          <cell r="I143">
            <v>0</v>
          </cell>
          <cell r="J143" t="str">
            <v>Core Factory</v>
          </cell>
          <cell r="K143" t="str">
            <v>Core</v>
          </cell>
          <cell r="L143" t="str">
            <v>Finishing</v>
          </cell>
          <cell r="M143" t="str">
            <v>Helper</v>
          </cell>
          <cell r="N143">
            <v>46030</v>
          </cell>
          <cell r="O143">
            <v>0.15616438356164383</v>
          </cell>
          <cell r="P143" t="str">
            <v>T</v>
          </cell>
          <cell r="Q143">
            <v>0</v>
          </cell>
          <cell r="R143">
            <v>0</v>
          </cell>
          <cell r="S143" t="str">
            <v>T</v>
          </cell>
          <cell r="T143">
            <v>0</v>
          </cell>
          <cell r="U143">
            <v>0</v>
          </cell>
          <cell r="V143" t="str">
            <v>T</v>
          </cell>
          <cell r="W143">
            <v>0</v>
          </cell>
          <cell r="X143">
            <v>0</v>
          </cell>
          <cell r="Y143" t="str">
            <v>T</v>
          </cell>
          <cell r="Z143">
            <v>0</v>
          </cell>
          <cell r="AA143">
            <v>0</v>
          </cell>
          <cell r="AB143" t="str">
            <v>T</v>
          </cell>
          <cell r="AC143">
            <v>0</v>
          </cell>
          <cell r="AD143">
            <v>0</v>
          </cell>
          <cell r="AE143" t="str">
            <v>T</v>
          </cell>
          <cell r="AF143">
            <v>0</v>
          </cell>
          <cell r="AG143">
            <v>0</v>
          </cell>
          <cell r="AH143" t="str">
            <v>T</v>
          </cell>
          <cell r="AI143">
            <v>0</v>
          </cell>
          <cell r="AJ143">
            <v>0</v>
          </cell>
          <cell r="AK143" t="str">
            <v>T</v>
          </cell>
          <cell r="AL143">
            <v>0</v>
          </cell>
          <cell r="AM143">
            <v>0</v>
          </cell>
          <cell r="AN143" t="str">
            <v>T</v>
          </cell>
          <cell r="AO143">
            <v>0</v>
          </cell>
          <cell r="AP143">
            <v>0</v>
          </cell>
          <cell r="AQ143" t="str">
            <v>T</v>
          </cell>
          <cell r="AR143">
            <v>0</v>
          </cell>
          <cell r="AS143">
            <v>0</v>
          </cell>
          <cell r="AT143" t="str">
            <v>T</v>
          </cell>
          <cell r="AU143">
            <v>0</v>
          </cell>
          <cell r="AV143">
            <v>0</v>
          </cell>
          <cell r="AW143" t="str">
            <v>T</v>
          </cell>
          <cell r="AX143">
            <v>0</v>
          </cell>
          <cell r="AY143">
            <v>0</v>
          </cell>
          <cell r="AZ143" t="str">
            <v>T</v>
          </cell>
          <cell r="BA143">
            <v>0</v>
          </cell>
          <cell r="BB143">
            <v>0</v>
          </cell>
          <cell r="BC143" t="str">
            <v>T</v>
          </cell>
          <cell r="BD143">
            <v>0</v>
          </cell>
          <cell r="BE143">
            <v>0</v>
          </cell>
          <cell r="BF143" t="str">
            <v>T</v>
          </cell>
          <cell r="BG143">
            <v>0</v>
          </cell>
          <cell r="BH143">
            <v>0</v>
          </cell>
          <cell r="BI143" t="str">
            <v>T</v>
          </cell>
          <cell r="BJ143">
            <v>0</v>
          </cell>
          <cell r="BK143">
            <v>0</v>
          </cell>
          <cell r="BL143" t="str">
            <v>T</v>
          </cell>
          <cell r="BM143">
            <v>0</v>
          </cell>
          <cell r="BN143">
            <v>0</v>
          </cell>
          <cell r="BO143" t="str">
            <v>T</v>
          </cell>
          <cell r="BP143">
            <v>0</v>
          </cell>
          <cell r="BQ143">
            <v>0</v>
          </cell>
          <cell r="BR143" t="str">
            <v>T</v>
          </cell>
          <cell r="BS143">
            <v>0</v>
          </cell>
          <cell r="BT143">
            <v>0</v>
          </cell>
          <cell r="BU143" t="str">
            <v>T</v>
          </cell>
          <cell r="BV143">
            <v>0</v>
          </cell>
          <cell r="BW143">
            <v>0</v>
          </cell>
          <cell r="BX143" t="str">
            <v>T</v>
          </cell>
          <cell r="BY143">
            <v>0</v>
          </cell>
          <cell r="BZ143">
            <v>0</v>
          </cell>
          <cell r="CA143" t="str">
            <v>T</v>
          </cell>
          <cell r="CB143">
            <v>0</v>
          </cell>
          <cell r="CC143">
            <v>0</v>
          </cell>
          <cell r="CD143" t="str">
            <v>T</v>
          </cell>
          <cell r="CE143">
            <v>0</v>
          </cell>
          <cell r="CF143">
            <v>0</v>
          </cell>
          <cell r="CG143" t="str">
            <v>T</v>
          </cell>
          <cell r="CH143">
            <v>0</v>
          </cell>
          <cell r="CI143">
            <v>0</v>
          </cell>
          <cell r="CJ143" t="str">
            <v>T</v>
          </cell>
          <cell r="CK143">
            <v>0</v>
          </cell>
          <cell r="CL143">
            <v>0</v>
          </cell>
          <cell r="CM143" t="str">
            <v>T</v>
          </cell>
          <cell r="CN143">
            <v>0</v>
          </cell>
          <cell r="CO143">
            <v>0</v>
          </cell>
          <cell r="CP143" t="str">
            <v>T</v>
          </cell>
          <cell r="CQ143">
            <v>0</v>
          </cell>
          <cell r="CR143">
            <v>0</v>
          </cell>
          <cell r="CS143" t="str">
            <v>P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1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1</v>
          </cell>
          <cell r="DN143">
            <v>28</v>
          </cell>
          <cell r="DO143">
            <v>27</v>
          </cell>
          <cell r="DP143">
            <v>0</v>
          </cell>
          <cell r="DQ143">
            <v>0</v>
          </cell>
          <cell r="DR143">
            <v>0</v>
          </cell>
        </row>
        <row r="144">
          <cell r="D144" t="str">
            <v>SHE422</v>
          </cell>
          <cell r="E144">
            <v>0</v>
          </cell>
          <cell r="F144">
            <v>0</v>
          </cell>
          <cell r="G144" t="str">
            <v>Shivanshu Ravi Shankar Dixit</v>
          </cell>
          <cell r="H144" t="str">
            <v>InDirect Labour Wage</v>
          </cell>
          <cell r="I144">
            <v>0</v>
          </cell>
          <cell r="J144" t="str">
            <v>Core Factory</v>
          </cell>
          <cell r="K144" t="str">
            <v>Core</v>
          </cell>
          <cell r="L144" t="str">
            <v>Finishing</v>
          </cell>
          <cell r="M144" t="str">
            <v>Helper</v>
          </cell>
          <cell r="N144">
            <v>46030</v>
          </cell>
          <cell r="O144">
            <v>0.15616438356164383</v>
          </cell>
          <cell r="P144" t="str">
            <v>S</v>
          </cell>
          <cell r="Q144">
            <v>0</v>
          </cell>
          <cell r="R144">
            <v>5.5</v>
          </cell>
          <cell r="S144" t="str">
            <v>P</v>
          </cell>
          <cell r="T144">
            <v>0</v>
          </cell>
          <cell r="U144">
            <v>2</v>
          </cell>
          <cell r="V144" t="str">
            <v>P</v>
          </cell>
          <cell r="W144">
            <v>0</v>
          </cell>
          <cell r="X144">
            <v>2</v>
          </cell>
          <cell r="Y144" t="str">
            <v>P</v>
          </cell>
          <cell r="Z144">
            <v>0</v>
          </cell>
          <cell r="AA144">
            <v>2</v>
          </cell>
          <cell r="AB144" t="str">
            <v>P</v>
          </cell>
          <cell r="AC144">
            <v>0</v>
          </cell>
          <cell r="AD144">
            <v>2</v>
          </cell>
          <cell r="AE144" t="str">
            <v>P</v>
          </cell>
          <cell r="AF144">
            <v>0</v>
          </cell>
          <cell r="AG144">
            <v>2</v>
          </cell>
          <cell r="AH144" t="str">
            <v>P</v>
          </cell>
          <cell r="AI144">
            <v>0</v>
          </cell>
          <cell r="AJ144">
            <v>2</v>
          </cell>
          <cell r="AK144" t="str">
            <v>S</v>
          </cell>
          <cell r="AL144">
            <v>0</v>
          </cell>
          <cell r="AM144">
            <v>5.5</v>
          </cell>
          <cell r="AN144" t="str">
            <v>A</v>
          </cell>
          <cell r="AO144">
            <v>0</v>
          </cell>
          <cell r="AP144">
            <v>0</v>
          </cell>
          <cell r="AQ144" t="str">
            <v>A</v>
          </cell>
          <cell r="AR144">
            <v>0</v>
          </cell>
          <cell r="AS144">
            <v>0</v>
          </cell>
          <cell r="AT144" t="str">
            <v>A</v>
          </cell>
          <cell r="AU144">
            <v>0</v>
          </cell>
          <cell r="AV144">
            <v>0</v>
          </cell>
          <cell r="AW144" t="str">
            <v>A</v>
          </cell>
          <cell r="AX144">
            <v>0</v>
          </cell>
          <cell r="AY144">
            <v>0</v>
          </cell>
          <cell r="AZ144" t="str">
            <v>A</v>
          </cell>
          <cell r="BA144">
            <v>0</v>
          </cell>
          <cell r="BB144">
            <v>0</v>
          </cell>
          <cell r="BC144" t="str">
            <v>A</v>
          </cell>
          <cell r="BD144">
            <v>0</v>
          </cell>
          <cell r="BE144">
            <v>0</v>
          </cell>
          <cell r="BF144" t="str">
            <v>A</v>
          </cell>
          <cell r="BG144">
            <v>0</v>
          </cell>
          <cell r="BH144">
            <v>0</v>
          </cell>
          <cell r="BI144" t="str">
            <v>A</v>
          </cell>
          <cell r="BJ144">
            <v>0</v>
          </cell>
          <cell r="BK144">
            <v>0</v>
          </cell>
          <cell r="BL144" t="str">
            <v>A</v>
          </cell>
          <cell r="BM144">
            <v>0</v>
          </cell>
          <cell r="BN144">
            <v>0</v>
          </cell>
          <cell r="BO144" t="str">
            <v>A</v>
          </cell>
          <cell r="BP144">
            <v>0</v>
          </cell>
          <cell r="BQ144">
            <v>0</v>
          </cell>
          <cell r="BR144" t="str">
            <v>A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6</v>
          </cell>
          <cell r="DG144">
            <v>0</v>
          </cell>
          <cell r="DH144">
            <v>23</v>
          </cell>
          <cell r="DI144">
            <v>11</v>
          </cell>
          <cell r="DJ144">
            <v>0</v>
          </cell>
          <cell r="DK144">
            <v>0</v>
          </cell>
          <cell r="DL144">
            <v>2</v>
          </cell>
          <cell r="DM144">
            <v>6</v>
          </cell>
          <cell r="DN144">
            <v>19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</row>
        <row r="145">
          <cell r="D145" t="str">
            <v>SHE423</v>
          </cell>
          <cell r="E145">
            <v>0</v>
          </cell>
          <cell r="F145">
            <v>0</v>
          </cell>
          <cell r="G145" t="str">
            <v>Shivjit Kumar Kallu</v>
          </cell>
          <cell r="H145" t="str">
            <v>Direct Labour Wage</v>
          </cell>
          <cell r="I145">
            <v>0</v>
          </cell>
          <cell r="J145" t="str">
            <v>Core Factory</v>
          </cell>
          <cell r="K145" t="str">
            <v>Core</v>
          </cell>
          <cell r="L145" t="str">
            <v>Core Winding</v>
          </cell>
          <cell r="M145" t="str">
            <v>Helper</v>
          </cell>
          <cell r="N145">
            <v>46038</v>
          </cell>
          <cell r="O145">
            <v>0.13424657534246576</v>
          </cell>
          <cell r="P145" t="str">
            <v>S</v>
          </cell>
          <cell r="Q145">
            <v>0</v>
          </cell>
          <cell r="R145">
            <v>0</v>
          </cell>
          <cell r="S145" t="str">
            <v>P</v>
          </cell>
          <cell r="T145">
            <v>0</v>
          </cell>
          <cell r="U145">
            <v>2</v>
          </cell>
          <cell r="V145" t="str">
            <v>P</v>
          </cell>
          <cell r="W145">
            <v>0</v>
          </cell>
          <cell r="X145">
            <v>2</v>
          </cell>
          <cell r="Y145" t="str">
            <v>P</v>
          </cell>
          <cell r="Z145">
            <v>0</v>
          </cell>
          <cell r="AA145">
            <v>2</v>
          </cell>
          <cell r="AB145" t="str">
            <v>P</v>
          </cell>
          <cell r="AC145">
            <v>0</v>
          </cell>
          <cell r="AD145">
            <v>2</v>
          </cell>
          <cell r="AE145" t="str">
            <v>P</v>
          </cell>
          <cell r="AF145">
            <v>0</v>
          </cell>
          <cell r="AG145">
            <v>2</v>
          </cell>
          <cell r="AH145" t="str">
            <v>P</v>
          </cell>
          <cell r="AI145">
            <v>0</v>
          </cell>
          <cell r="AJ145">
            <v>2</v>
          </cell>
          <cell r="AK145" t="str">
            <v>S</v>
          </cell>
          <cell r="AL145">
            <v>0</v>
          </cell>
          <cell r="AM145">
            <v>4.5</v>
          </cell>
          <cell r="AN145" t="str">
            <v>P</v>
          </cell>
          <cell r="AO145">
            <v>0</v>
          </cell>
          <cell r="AP145">
            <v>2</v>
          </cell>
          <cell r="AQ145" t="str">
            <v>P</v>
          </cell>
          <cell r="AR145">
            <v>0</v>
          </cell>
          <cell r="AS145">
            <v>2</v>
          </cell>
          <cell r="AT145" t="str">
            <v>P</v>
          </cell>
          <cell r="AU145">
            <v>0</v>
          </cell>
          <cell r="AV145">
            <v>2</v>
          </cell>
          <cell r="AW145" t="str">
            <v>P</v>
          </cell>
          <cell r="AX145">
            <v>0</v>
          </cell>
          <cell r="AY145">
            <v>2</v>
          </cell>
          <cell r="AZ145" t="str">
            <v>P</v>
          </cell>
          <cell r="BA145">
            <v>0</v>
          </cell>
          <cell r="BB145">
            <v>2</v>
          </cell>
          <cell r="BC145" t="str">
            <v>P</v>
          </cell>
          <cell r="BD145">
            <v>0</v>
          </cell>
          <cell r="BE145">
            <v>2</v>
          </cell>
          <cell r="BF145" t="str">
            <v>S</v>
          </cell>
          <cell r="BG145">
            <v>0</v>
          </cell>
          <cell r="BH145">
            <v>4.5</v>
          </cell>
          <cell r="BI145" t="str">
            <v>P</v>
          </cell>
          <cell r="BJ145">
            <v>0</v>
          </cell>
          <cell r="BK145">
            <v>2</v>
          </cell>
          <cell r="BL145" t="str">
            <v>P</v>
          </cell>
          <cell r="BM145">
            <v>0</v>
          </cell>
          <cell r="BN145">
            <v>2</v>
          </cell>
          <cell r="BO145" t="str">
            <v>P</v>
          </cell>
          <cell r="BP145">
            <v>0</v>
          </cell>
          <cell r="BQ145">
            <v>2</v>
          </cell>
          <cell r="BR145" t="str">
            <v>P</v>
          </cell>
          <cell r="BS145">
            <v>0</v>
          </cell>
          <cell r="BT145">
            <v>2</v>
          </cell>
          <cell r="BU145" t="str">
            <v>P</v>
          </cell>
          <cell r="BV145">
            <v>0</v>
          </cell>
          <cell r="BW145">
            <v>2</v>
          </cell>
          <cell r="BX145" t="str">
            <v>A</v>
          </cell>
          <cell r="BY145">
            <v>0</v>
          </cell>
          <cell r="BZ145">
            <v>0</v>
          </cell>
          <cell r="CA145" t="str">
            <v>S</v>
          </cell>
          <cell r="CB145">
            <v>0</v>
          </cell>
          <cell r="CC145">
            <v>4.5</v>
          </cell>
          <cell r="CD145" t="str">
            <v>P</v>
          </cell>
          <cell r="CE145">
            <v>0</v>
          </cell>
          <cell r="CF145">
            <v>2</v>
          </cell>
          <cell r="CG145" t="str">
            <v>P</v>
          </cell>
          <cell r="CH145">
            <v>0</v>
          </cell>
          <cell r="CI145">
            <v>2</v>
          </cell>
          <cell r="CJ145" t="str">
            <v>P</v>
          </cell>
          <cell r="CK145">
            <v>0</v>
          </cell>
          <cell r="CL145">
            <v>2</v>
          </cell>
          <cell r="CM145" t="str">
            <v>P</v>
          </cell>
          <cell r="CN145">
            <v>0</v>
          </cell>
          <cell r="CO145">
            <v>2</v>
          </cell>
          <cell r="CP145" t="str">
            <v>P</v>
          </cell>
          <cell r="CQ145">
            <v>0</v>
          </cell>
          <cell r="CR145">
            <v>2</v>
          </cell>
          <cell r="CS145" t="str">
            <v>P</v>
          </cell>
          <cell r="CT145">
            <v>0</v>
          </cell>
          <cell r="CU145">
            <v>2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23</v>
          </cell>
          <cell r="DG145">
            <v>0</v>
          </cell>
          <cell r="DH145">
            <v>59.5</v>
          </cell>
          <cell r="DI145">
            <v>1</v>
          </cell>
          <cell r="DJ145">
            <v>0</v>
          </cell>
          <cell r="DK145">
            <v>0</v>
          </cell>
          <cell r="DL145">
            <v>4</v>
          </cell>
          <cell r="DM145">
            <v>23</v>
          </cell>
          <cell r="DN145">
            <v>28</v>
          </cell>
          <cell r="DO145">
            <v>0</v>
          </cell>
          <cell r="DP145">
            <v>0</v>
          </cell>
          <cell r="DQ145">
            <v>0</v>
          </cell>
          <cell r="DR145">
            <v>200</v>
          </cell>
        </row>
        <row r="146">
          <cell r="D146" t="str">
            <v>SHE428</v>
          </cell>
          <cell r="E146">
            <v>0</v>
          </cell>
          <cell r="F146">
            <v>0</v>
          </cell>
          <cell r="G146" t="str">
            <v>Raj Kumar Soorjdin Yadav (Raju)</v>
          </cell>
          <cell r="H146" t="str">
            <v>InDirect Labour Wage</v>
          </cell>
          <cell r="I146">
            <v>0</v>
          </cell>
          <cell r="J146" t="str">
            <v>Core Factory</v>
          </cell>
          <cell r="K146" t="str">
            <v>Core</v>
          </cell>
          <cell r="L146" t="str">
            <v>Material Issue</v>
          </cell>
          <cell r="M146" t="str">
            <v>Operator</v>
          </cell>
          <cell r="N146">
            <v>46041</v>
          </cell>
          <cell r="O146">
            <v>0.12602739726027398</v>
          </cell>
          <cell r="P146" t="str">
            <v>S</v>
          </cell>
          <cell r="Q146">
            <v>0</v>
          </cell>
          <cell r="R146">
            <v>5.5</v>
          </cell>
          <cell r="S146" t="str">
            <v>P</v>
          </cell>
          <cell r="T146">
            <v>0</v>
          </cell>
          <cell r="U146">
            <v>3</v>
          </cell>
          <cell r="V146" t="str">
            <v>P</v>
          </cell>
          <cell r="W146">
            <v>0</v>
          </cell>
          <cell r="X146">
            <v>3</v>
          </cell>
          <cell r="Y146" t="str">
            <v>P</v>
          </cell>
          <cell r="Z146">
            <v>0</v>
          </cell>
          <cell r="AA146">
            <v>3</v>
          </cell>
          <cell r="AB146" t="str">
            <v>P</v>
          </cell>
          <cell r="AC146">
            <v>0</v>
          </cell>
          <cell r="AD146">
            <v>3</v>
          </cell>
          <cell r="AE146" t="str">
            <v>P</v>
          </cell>
          <cell r="AF146">
            <v>0</v>
          </cell>
          <cell r="AG146">
            <v>3</v>
          </cell>
          <cell r="AH146" t="str">
            <v>P</v>
          </cell>
          <cell r="AI146">
            <v>0</v>
          </cell>
          <cell r="AJ146">
            <v>2</v>
          </cell>
          <cell r="AK146" t="str">
            <v>S</v>
          </cell>
          <cell r="AL146">
            <v>0</v>
          </cell>
          <cell r="AM146">
            <v>5.5</v>
          </cell>
          <cell r="AN146" t="str">
            <v>P</v>
          </cell>
          <cell r="AO146">
            <v>0</v>
          </cell>
          <cell r="AP146">
            <v>2.5</v>
          </cell>
          <cell r="AQ146" t="str">
            <v>P</v>
          </cell>
          <cell r="AR146">
            <v>0</v>
          </cell>
          <cell r="AS146">
            <v>3</v>
          </cell>
          <cell r="AT146" t="str">
            <v>P</v>
          </cell>
          <cell r="AU146">
            <v>0</v>
          </cell>
          <cell r="AV146">
            <v>3</v>
          </cell>
          <cell r="AW146" t="str">
            <v>P</v>
          </cell>
          <cell r="AX146">
            <v>0</v>
          </cell>
          <cell r="AY146">
            <v>3</v>
          </cell>
          <cell r="AZ146" t="str">
            <v>P</v>
          </cell>
          <cell r="BA146">
            <v>0</v>
          </cell>
          <cell r="BB146">
            <v>3</v>
          </cell>
          <cell r="BC146" t="str">
            <v>P</v>
          </cell>
          <cell r="BD146">
            <v>0</v>
          </cell>
          <cell r="BE146">
            <v>3</v>
          </cell>
          <cell r="BF146" t="str">
            <v>S</v>
          </cell>
          <cell r="BG146">
            <v>0</v>
          </cell>
          <cell r="BH146">
            <v>5</v>
          </cell>
          <cell r="BI146" t="str">
            <v>P</v>
          </cell>
          <cell r="BJ146">
            <v>0</v>
          </cell>
          <cell r="BK146">
            <v>3</v>
          </cell>
          <cell r="BL146" t="str">
            <v>P</v>
          </cell>
          <cell r="BM146">
            <v>0</v>
          </cell>
          <cell r="BN146">
            <v>3</v>
          </cell>
          <cell r="BO146" t="str">
            <v>P</v>
          </cell>
          <cell r="BP146">
            <v>0</v>
          </cell>
          <cell r="BQ146">
            <v>3</v>
          </cell>
          <cell r="BR146" t="str">
            <v>P</v>
          </cell>
          <cell r="BS146">
            <v>0</v>
          </cell>
          <cell r="BT146">
            <v>3</v>
          </cell>
          <cell r="BU146" t="str">
            <v>P</v>
          </cell>
          <cell r="BV146">
            <v>0</v>
          </cell>
          <cell r="BW146">
            <v>3</v>
          </cell>
          <cell r="BX146" t="str">
            <v>P</v>
          </cell>
          <cell r="BY146">
            <v>0</v>
          </cell>
          <cell r="BZ146">
            <v>3</v>
          </cell>
          <cell r="CA146" t="str">
            <v>S</v>
          </cell>
          <cell r="CB146">
            <v>0</v>
          </cell>
          <cell r="CC146">
            <v>5</v>
          </cell>
          <cell r="CD146" t="str">
            <v>P</v>
          </cell>
          <cell r="CE146">
            <v>0</v>
          </cell>
          <cell r="CF146">
            <v>3</v>
          </cell>
          <cell r="CG146" t="str">
            <v>P</v>
          </cell>
          <cell r="CH146">
            <v>0</v>
          </cell>
          <cell r="CI146">
            <v>3</v>
          </cell>
          <cell r="CJ146" t="str">
            <v>P</v>
          </cell>
          <cell r="CK146">
            <v>0</v>
          </cell>
          <cell r="CL146">
            <v>3</v>
          </cell>
          <cell r="CM146" t="str">
            <v>P</v>
          </cell>
          <cell r="CN146">
            <v>0</v>
          </cell>
          <cell r="CO146">
            <v>3</v>
          </cell>
          <cell r="CP146" t="str">
            <v>P</v>
          </cell>
          <cell r="CQ146">
            <v>0</v>
          </cell>
          <cell r="CR146">
            <v>3</v>
          </cell>
          <cell r="CS146" t="str">
            <v>P</v>
          </cell>
          <cell r="CT146">
            <v>0</v>
          </cell>
          <cell r="CU146">
            <v>3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24</v>
          </cell>
          <cell r="DG146">
            <v>0</v>
          </cell>
          <cell r="DH146">
            <v>91.5</v>
          </cell>
          <cell r="DI146">
            <v>0</v>
          </cell>
          <cell r="DJ146">
            <v>0</v>
          </cell>
          <cell r="DK146">
            <v>0</v>
          </cell>
          <cell r="DL146">
            <v>4</v>
          </cell>
          <cell r="DM146">
            <v>24</v>
          </cell>
          <cell r="DN146">
            <v>28</v>
          </cell>
          <cell r="DO146">
            <v>0</v>
          </cell>
          <cell r="DP146">
            <v>9</v>
          </cell>
          <cell r="DQ146">
            <v>350</v>
          </cell>
          <cell r="DR146">
            <v>0</v>
          </cell>
        </row>
        <row r="147">
          <cell r="D147" t="str">
            <v>SHE431</v>
          </cell>
          <cell r="E147">
            <v>0</v>
          </cell>
          <cell r="F147">
            <v>0</v>
          </cell>
          <cell r="G147" t="str">
            <v>Dinesh Kumar Yadav Shyam Sundar</v>
          </cell>
          <cell r="H147" t="str">
            <v>Direct Labour Wage</v>
          </cell>
          <cell r="I147">
            <v>0</v>
          </cell>
          <cell r="J147" t="str">
            <v>Core Factory</v>
          </cell>
          <cell r="K147" t="str">
            <v>Mu-Metal</v>
          </cell>
          <cell r="L147" t="str">
            <v>Assembly</v>
          </cell>
          <cell r="M147" t="str">
            <v>Operator</v>
          </cell>
          <cell r="N147">
            <v>46046</v>
          </cell>
          <cell r="O147">
            <v>0.11232876712328767</v>
          </cell>
          <cell r="P147" t="str">
            <v>S</v>
          </cell>
          <cell r="Q147">
            <v>0</v>
          </cell>
          <cell r="R147">
            <v>5.5</v>
          </cell>
          <cell r="S147" t="str">
            <v>P</v>
          </cell>
          <cell r="T147">
            <v>0</v>
          </cell>
          <cell r="U147">
            <v>2</v>
          </cell>
          <cell r="V147" t="str">
            <v>P</v>
          </cell>
          <cell r="W147">
            <v>0</v>
          </cell>
          <cell r="X147">
            <v>2</v>
          </cell>
          <cell r="Y147" t="str">
            <v>P</v>
          </cell>
          <cell r="Z147">
            <v>0</v>
          </cell>
          <cell r="AA147">
            <v>2</v>
          </cell>
          <cell r="AB147" t="str">
            <v>P</v>
          </cell>
          <cell r="AC147">
            <v>0</v>
          </cell>
          <cell r="AD147">
            <v>2</v>
          </cell>
          <cell r="AE147" t="str">
            <v>P</v>
          </cell>
          <cell r="AF147">
            <v>0</v>
          </cell>
          <cell r="AG147">
            <v>2</v>
          </cell>
          <cell r="AH147" t="str">
            <v>P</v>
          </cell>
          <cell r="AI147">
            <v>0</v>
          </cell>
          <cell r="AJ147">
            <v>2</v>
          </cell>
          <cell r="AK147" t="str">
            <v>S</v>
          </cell>
          <cell r="AL147">
            <v>0</v>
          </cell>
          <cell r="AM147">
            <v>5.5</v>
          </cell>
          <cell r="AN147" t="str">
            <v>P</v>
          </cell>
          <cell r="AO147">
            <v>0</v>
          </cell>
          <cell r="AP147">
            <v>2</v>
          </cell>
          <cell r="AQ147" t="str">
            <v>P</v>
          </cell>
          <cell r="AR147">
            <v>0</v>
          </cell>
          <cell r="AS147">
            <v>2</v>
          </cell>
          <cell r="AT147" t="str">
            <v>P</v>
          </cell>
          <cell r="AU147">
            <v>0</v>
          </cell>
          <cell r="AV147">
            <v>2</v>
          </cell>
          <cell r="AW147" t="str">
            <v>P</v>
          </cell>
          <cell r="AX147">
            <v>0</v>
          </cell>
          <cell r="AY147">
            <v>2</v>
          </cell>
          <cell r="AZ147" t="str">
            <v>P</v>
          </cell>
          <cell r="BA147">
            <v>0</v>
          </cell>
          <cell r="BB147">
            <v>2</v>
          </cell>
          <cell r="BC147" t="str">
            <v>P</v>
          </cell>
          <cell r="BD147">
            <v>0</v>
          </cell>
          <cell r="BE147">
            <v>2</v>
          </cell>
          <cell r="BF147" t="str">
            <v>S</v>
          </cell>
          <cell r="BG147">
            <v>0</v>
          </cell>
          <cell r="BH147">
            <v>5.5</v>
          </cell>
          <cell r="BI147" t="str">
            <v>P</v>
          </cell>
          <cell r="BJ147">
            <v>0</v>
          </cell>
          <cell r="BK147">
            <v>2</v>
          </cell>
          <cell r="BL147" t="str">
            <v>P</v>
          </cell>
          <cell r="BM147">
            <v>0</v>
          </cell>
          <cell r="BN147">
            <v>2</v>
          </cell>
          <cell r="BO147" t="str">
            <v>P</v>
          </cell>
          <cell r="BP147">
            <v>0</v>
          </cell>
          <cell r="BQ147">
            <v>2</v>
          </cell>
          <cell r="BR147" t="str">
            <v>P</v>
          </cell>
          <cell r="BS147">
            <v>0</v>
          </cell>
          <cell r="BT147">
            <v>2</v>
          </cell>
          <cell r="BU147" t="str">
            <v>P</v>
          </cell>
          <cell r="BV147">
            <v>0</v>
          </cell>
          <cell r="BW147">
            <v>0</v>
          </cell>
          <cell r="BX147" t="str">
            <v>P</v>
          </cell>
          <cell r="BY147">
            <v>0</v>
          </cell>
          <cell r="BZ147">
            <v>2</v>
          </cell>
          <cell r="CA147" t="str">
            <v>S</v>
          </cell>
          <cell r="CB147">
            <v>0</v>
          </cell>
          <cell r="CC147">
            <v>5.5</v>
          </cell>
          <cell r="CD147" t="str">
            <v>P</v>
          </cell>
          <cell r="CE147">
            <v>0</v>
          </cell>
          <cell r="CF147">
            <v>2</v>
          </cell>
          <cell r="CG147" t="str">
            <v>P</v>
          </cell>
          <cell r="CH147">
            <v>0</v>
          </cell>
          <cell r="CI147">
            <v>2</v>
          </cell>
          <cell r="CJ147" t="str">
            <v>P</v>
          </cell>
          <cell r="CK147">
            <v>0</v>
          </cell>
          <cell r="CL147">
            <v>2</v>
          </cell>
          <cell r="CM147" t="str">
            <v>A</v>
          </cell>
          <cell r="CN147">
            <v>0</v>
          </cell>
          <cell r="CO147">
            <v>0</v>
          </cell>
          <cell r="CP147" t="str">
            <v>P</v>
          </cell>
          <cell r="CQ147">
            <v>0</v>
          </cell>
          <cell r="CR147">
            <v>2</v>
          </cell>
          <cell r="CS147" t="str">
            <v>P</v>
          </cell>
          <cell r="CT147">
            <v>0</v>
          </cell>
          <cell r="CU147">
            <v>4.5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23</v>
          </cell>
          <cell r="DG147">
            <v>0</v>
          </cell>
          <cell r="DH147">
            <v>68.5</v>
          </cell>
          <cell r="DI147">
            <v>1</v>
          </cell>
          <cell r="DJ147">
            <v>0</v>
          </cell>
          <cell r="DK147">
            <v>0</v>
          </cell>
          <cell r="DL147">
            <v>4</v>
          </cell>
          <cell r="DM147">
            <v>23</v>
          </cell>
          <cell r="DN147">
            <v>28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</row>
        <row r="148">
          <cell r="D148" t="str">
            <v>SHE432</v>
          </cell>
          <cell r="E148">
            <v>0</v>
          </cell>
          <cell r="F148">
            <v>0</v>
          </cell>
          <cell r="G148" t="str">
            <v>Vikas Basant Lal</v>
          </cell>
          <cell r="H148" t="str">
            <v>Direct Labour Wage</v>
          </cell>
          <cell r="I148">
            <v>0</v>
          </cell>
          <cell r="J148" t="str">
            <v>Core Factory</v>
          </cell>
          <cell r="K148" t="str">
            <v>Core</v>
          </cell>
          <cell r="L148" t="str">
            <v>Furnace</v>
          </cell>
          <cell r="M148" t="str">
            <v>Helper</v>
          </cell>
          <cell r="N148">
            <v>46056</v>
          </cell>
          <cell r="O148">
            <v>8.4931506849315067E-2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P</v>
          </cell>
          <cell r="W148">
            <v>0</v>
          </cell>
          <cell r="X148">
            <v>2</v>
          </cell>
          <cell r="Y148" t="str">
            <v>P</v>
          </cell>
          <cell r="Z148">
            <v>0</v>
          </cell>
          <cell r="AA148">
            <v>3</v>
          </cell>
          <cell r="AB148" t="str">
            <v>A</v>
          </cell>
          <cell r="AC148">
            <v>0</v>
          </cell>
          <cell r="AD148">
            <v>0</v>
          </cell>
          <cell r="AE148" t="str">
            <v>P</v>
          </cell>
          <cell r="AF148">
            <v>0</v>
          </cell>
          <cell r="AG148">
            <v>2</v>
          </cell>
          <cell r="AH148" t="str">
            <v>P</v>
          </cell>
          <cell r="AI148">
            <v>0</v>
          </cell>
          <cell r="AJ148">
            <v>2</v>
          </cell>
          <cell r="AK148" t="str">
            <v>S</v>
          </cell>
          <cell r="AL148">
            <v>0</v>
          </cell>
          <cell r="AM148">
            <v>10</v>
          </cell>
          <cell r="AN148" t="str">
            <v>P</v>
          </cell>
          <cell r="AO148">
            <v>0</v>
          </cell>
          <cell r="AP148">
            <v>2</v>
          </cell>
          <cell r="AQ148" t="str">
            <v>A</v>
          </cell>
          <cell r="AR148">
            <v>0</v>
          </cell>
          <cell r="AS148">
            <v>0</v>
          </cell>
          <cell r="AT148" t="str">
            <v>T</v>
          </cell>
          <cell r="AU148">
            <v>0</v>
          </cell>
          <cell r="AV148">
            <v>0</v>
          </cell>
          <cell r="AW148" t="str">
            <v>T</v>
          </cell>
          <cell r="AX148">
            <v>0</v>
          </cell>
          <cell r="AY148">
            <v>0</v>
          </cell>
          <cell r="AZ148" t="str">
            <v>T</v>
          </cell>
          <cell r="BA148">
            <v>0</v>
          </cell>
          <cell r="BB148">
            <v>0</v>
          </cell>
          <cell r="BC148" t="str">
            <v>T</v>
          </cell>
          <cell r="BD148">
            <v>0</v>
          </cell>
          <cell r="BE148">
            <v>0</v>
          </cell>
          <cell r="BF148" t="str">
            <v>T</v>
          </cell>
          <cell r="BG148">
            <v>0</v>
          </cell>
          <cell r="BH148">
            <v>12</v>
          </cell>
          <cell r="BI148" t="str">
            <v>P</v>
          </cell>
          <cell r="BJ148">
            <v>0</v>
          </cell>
          <cell r="BK148">
            <v>3</v>
          </cell>
          <cell r="BL148" t="str">
            <v>T</v>
          </cell>
          <cell r="BM148">
            <v>0</v>
          </cell>
          <cell r="BN148">
            <v>0</v>
          </cell>
          <cell r="BO148" t="str">
            <v>T</v>
          </cell>
          <cell r="BP148">
            <v>0</v>
          </cell>
          <cell r="BQ148">
            <v>0</v>
          </cell>
          <cell r="BR148" t="str">
            <v>P</v>
          </cell>
          <cell r="BS148">
            <v>0</v>
          </cell>
          <cell r="BT148">
            <v>3</v>
          </cell>
          <cell r="BU148" t="str">
            <v>T</v>
          </cell>
          <cell r="BV148">
            <v>0</v>
          </cell>
          <cell r="BW148">
            <v>0</v>
          </cell>
          <cell r="BX148" t="str">
            <v>T</v>
          </cell>
          <cell r="BY148">
            <v>0</v>
          </cell>
          <cell r="BZ148">
            <v>0</v>
          </cell>
          <cell r="CA148" t="str">
            <v>T</v>
          </cell>
          <cell r="CB148">
            <v>0</v>
          </cell>
          <cell r="CC148">
            <v>0</v>
          </cell>
          <cell r="CD148" t="str">
            <v>T</v>
          </cell>
          <cell r="CE148">
            <v>0</v>
          </cell>
          <cell r="CF148">
            <v>0</v>
          </cell>
          <cell r="CG148" t="str">
            <v>P</v>
          </cell>
          <cell r="CH148">
            <v>0</v>
          </cell>
          <cell r="CI148">
            <v>2</v>
          </cell>
          <cell r="CJ148" t="str">
            <v>T</v>
          </cell>
          <cell r="CK148">
            <v>0</v>
          </cell>
          <cell r="CL148">
            <v>0</v>
          </cell>
          <cell r="CM148" t="str">
            <v>P</v>
          </cell>
          <cell r="CN148">
            <v>0</v>
          </cell>
          <cell r="CO148">
            <v>2.5</v>
          </cell>
          <cell r="CP148" t="str">
            <v>P</v>
          </cell>
          <cell r="CQ148">
            <v>0</v>
          </cell>
          <cell r="CR148">
            <v>2.5</v>
          </cell>
          <cell r="CS148" t="str">
            <v>P</v>
          </cell>
          <cell r="CT148">
            <v>0</v>
          </cell>
          <cell r="CU148">
            <v>2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11</v>
          </cell>
          <cell r="DG148">
            <v>0</v>
          </cell>
          <cell r="DH148">
            <v>48</v>
          </cell>
          <cell r="DI148">
            <v>2</v>
          </cell>
          <cell r="DJ148">
            <v>0</v>
          </cell>
          <cell r="DK148">
            <v>0</v>
          </cell>
          <cell r="DL148">
            <v>1</v>
          </cell>
          <cell r="DM148">
            <v>11</v>
          </cell>
          <cell r="DN148">
            <v>26</v>
          </cell>
          <cell r="DO148">
            <v>12</v>
          </cell>
          <cell r="DP148">
            <v>0</v>
          </cell>
          <cell r="DQ148">
            <v>0</v>
          </cell>
          <cell r="DR148">
            <v>0</v>
          </cell>
        </row>
        <row r="149">
          <cell r="D149" t="str">
            <v>SHE436</v>
          </cell>
          <cell r="E149">
            <v>0</v>
          </cell>
          <cell r="F149">
            <v>0</v>
          </cell>
          <cell r="G149" t="str">
            <v>Ashish Kumar Om Prakash</v>
          </cell>
          <cell r="H149" t="str">
            <v>Direct Labour Wage</v>
          </cell>
          <cell r="I149">
            <v>0</v>
          </cell>
          <cell r="J149" t="str">
            <v>Core Factory</v>
          </cell>
          <cell r="K149" t="str">
            <v>Core</v>
          </cell>
          <cell r="L149" t="str">
            <v>Core Winding</v>
          </cell>
          <cell r="M149" t="str">
            <v>Helper</v>
          </cell>
          <cell r="N149">
            <v>46057</v>
          </cell>
          <cell r="O149">
            <v>8.2191780821917804E-2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 t="str">
            <v>P</v>
          </cell>
          <cell r="Z149">
            <v>0</v>
          </cell>
          <cell r="AA149">
            <v>2</v>
          </cell>
          <cell r="AB149" t="str">
            <v>P</v>
          </cell>
          <cell r="AC149">
            <v>0</v>
          </cell>
          <cell r="AD149">
            <v>2</v>
          </cell>
          <cell r="AE149" t="str">
            <v>P</v>
          </cell>
          <cell r="AF149">
            <v>0</v>
          </cell>
          <cell r="AG149">
            <v>2</v>
          </cell>
          <cell r="AH149" t="str">
            <v>P</v>
          </cell>
          <cell r="AI149">
            <v>0</v>
          </cell>
          <cell r="AJ149">
            <v>2</v>
          </cell>
          <cell r="AK149" t="str">
            <v>S</v>
          </cell>
          <cell r="AL149">
            <v>0</v>
          </cell>
          <cell r="AM149">
            <v>5.5</v>
          </cell>
          <cell r="AN149" t="str">
            <v>P</v>
          </cell>
          <cell r="AO149">
            <v>0</v>
          </cell>
          <cell r="AP149">
            <v>2</v>
          </cell>
          <cell r="AQ149" t="str">
            <v>P</v>
          </cell>
          <cell r="AR149">
            <v>0</v>
          </cell>
          <cell r="AS149">
            <v>2</v>
          </cell>
          <cell r="AT149" t="str">
            <v>P</v>
          </cell>
          <cell r="AU149">
            <v>0</v>
          </cell>
          <cell r="AV149">
            <v>2</v>
          </cell>
          <cell r="AW149" t="str">
            <v>P</v>
          </cell>
          <cell r="AX149">
            <v>0</v>
          </cell>
          <cell r="AY149">
            <v>2</v>
          </cell>
          <cell r="AZ149" t="str">
            <v>P</v>
          </cell>
          <cell r="BA149">
            <v>0</v>
          </cell>
          <cell r="BB149">
            <v>2</v>
          </cell>
          <cell r="BC149" t="str">
            <v>P</v>
          </cell>
          <cell r="BD149">
            <v>0</v>
          </cell>
          <cell r="BE149">
            <v>2</v>
          </cell>
          <cell r="BF149" t="str">
            <v>S</v>
          </cell>
          <cell r="BG149">
            <v>0</v>
          </cell>
          <cell r="BH149">
            <v>4</v>
          </cell>
          <cell r="BI149" t="str">
            <v>T</v>
          </cell>
          <cell r="BJ149">
            <v>0</v>
          </cell>
          <cell r="BK149">
            <v>0</v>
          </cell>
          <cell r="BL149" t="str">
            <v>T</v>
          </cell>
          <cell r="BM149">
            <v>0</v>
          </cell>
          <cell r="BN149">
            <v>0</v>
          </cell>
          <cell r="BO149" t="str">
            <v>T</v>
          </cell>
          <cell r="BP149">
            <v>0</v>
          </cell>
          <cell r="BQ149">
            <v>0</v>
          </cell>
          <cell r="BR149" t="str">
            <v>T</v>
          </cell>
          <cell r="BS149">
            <v>0</v>
          </cell>
          <cell r="BT149">
            <v>0</v>
          </cell>
          <cell r="BU149" t="str">
            <v>T</v>
          </cell>
          <cell r="BV149">
            <v>0</v>
          </cell>
          <cell r="BW149">
            <v>0</v>
          </cell>
          <cell r="BX149" t="str">
            <v>T</v>
          </cell>
          <cell r="BY149">
            <v>0</v>
          </cell>
          <cell r="BZ149">
            <v>0</v>
          </cell>
          <cell r="CA149" t="str">
            <v>T</v>
          </cell>
          <cell r="CB149">
            <v>0</v>
          </cell>
          <cell r="CC149">
            <v>0</v>
          </cell>
          <cell r="CD149" t="str">
            <v>T</v>
          </cell>
          <cell r="CE149">
            <v>0</v>
          </cell>
          <cell r="CF149">
            <v>0</v>
          </cell>
          <cell r="CG149" t="str">
            <v>T</v>
          </cell>
          <cell r="CH149">
            <v>0</v>
          </cell>
          <cell r="CI149">
            <v>0</v>
          </cell>
          <cell r="CJ149" t="str">
            <v>T</v>
          </cell>
          <cell r="CK149">
            <v>0</v>
          </cell>
          <cell r="CL149">
            <v>0</v>
          </cell>
          <cell r="CM149" t="str">
            <v>T</v>
          </cell>
          <cell r="CN149">
            <v>0</v>
          </cell>
          <cell r="CO149">
            <v>0</v>
          </cell>
          <cell r="CP149" t="str">
            <v>T</v>
          </cell>
          <cell r="CQ149">
            <v>0</v>
          </cell>
          <cell r="CR149">
            <v>0</v>
          </cell>
          <cell r="CS149" t="str">
            <v>T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10</v>
          </cell>
          <cell r="DG149">
            <v>0</v>
          </cell>
          <cell r="DH149">
            <v>29.5</v>
          </cell>
          <cell r="DI149">
            <v>0</v>
          </cell>
          <cell r="DJ149">
            <v>0</v>
          </cell>
          <cell r="DK149">
            <v>0</v>
          </cell>
          <cell r="DL149">
            <v>2</v>
          </cell>
          <cell r="DM149">
            <v>10</v>
          </cell>
          <cell r="DN149">
            <v>25</v>
          </cell>
          <cell r="DO149">
            <v>13</v>
          </cell>
          <cell r="DP149">
            <v>8</v>
          </cell>
          <cell r="DQ149">
            <v>350</v>
          </cell>
          <cell r="DR149">
            <v>0</v>
          </cell>
        </row>
        <row r="150">
          <cell r="D150" t="str">
            <v>SHE439</v>
          </cell>
          <cell r="E150">
            <v>0</v>
          </cell>
          <cell r="F150">
            <v>0</v>
          </cell>
          <cell r="G150" t="str">
            <v>Rakeshbhai Bhailalbhai Jadav</v>
          </cell>
          <cell r="H150" t="str">
            <v>Direct Labour Wage</v>
          </cell>
          <cell r="I150">
            <v>0</v>
          </cell>
          <cell r="J150" t="str">
            <v>Core Factory</v>
          </cell>
          <cell r="K150" t="str">
            <v>Mu-Metal</v>
          </cell>
          <cell r="L150" t="str">
            <v>Winding</v>
          </cell>
          <cell r="M150" t="str">
            <v>Helper</v>
          </cell>
          <cell r="N150">
            <v>46059</v>
          </cell>
          <cell r="O150">
            <v>7.6712328767123292E-2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 t="str">
            <v>P</v>
          </cell>
          <cell r="AF150">
            <v>0</v>
          </cell>
          <cell r="AG150">
            <v>0</v>
          </cell>
          <cell r="AH150" t="str">
            <v>P</v>
          </cell>
          <cell r="AI150">
            <v>0</v>
          </cell>
          <cell r="AJ150">
            <v>0</v>
          </cell>
          <cell r="AK150" t="str">
            <v>S</v>
          </cell>
          <cell r="AL150">
            <v>0</v>
          </cell>
          <cell r="AM150">
            <v>0</v>
          </cell>
          <cell r="AN150" t="str">
            <v>P</v>
          </cell>
          <cell r="AO150">
            <v>0</v>
          </cell>
          <cell r="AP150">
            <v>0</v>
          </cell>
          <cell r="AQ150" t="str">
            <v>P</v>
          </cell>
          <cell r="AR150">
            <v>0</v>
          </cell>
          <cell r="AS150">
            <v>0</v>
          </cell>
          <cell r="AT150" t="str">
            <v>P</v>
          </cell>
          <cell r="AU150">
            <v>0</v>
          </cell>
          <cell r="AV150">
            <v>0</v>
          </cell>
          <cell r="AW150" t="str">
            <v>P</v>
          </cell>
          <cell r="AX150">
            <v>0</v>
          </cell>
          <cell r="AY150">
            <v>0</v>
          </cell>
          <cell r="AZ150" t="str">
            <v>P</v>
          </cell>
          <cell r="BA150">
            <v>0</v>
          </cell>
          <cell r="BB150">
            <v>0</v>
          </cell>
          <cell r="BC150" t="str">
            <v>P</v>
          </cell>
          <cell r="BD150">
            <v>0</v>
          </cell>
          <cell r="BE150">
            <v>0</v>
          </cell>
          <cell r="BF150" t="str">
            <v>S</v>
          </cell>
          <cell r="BG150">
            <v>0</v>
          </cell>
          <cell r="BH150">
            <v>0</v>
          </cell>
          <cell r="BI150" t="str">
            <v>P</v>
          </cell>
          <cell r="BJ150">
            <v>0</v>
          </cell>
          <cell r="BK150">
            <v>0</v>
          </cell>
          <cell r="BL150" t="str">
            <v>P</v>
          </cell>
          <cell r="BM150">
            <v>0</v>
          </cell>
          <cell r="BN150">
            <v>0</v>
          </cell>
          <cell r="BO150" t="str">
            <v>P</v>
          </cell>
          <cell r="BP150">
            <v>0</v>
          </cell>
          <cell r="BQ150">
            <v>0</v>
          </cell>
          <cell r="BR150" t="str">
            <v>P</v>
          </cell>
          <cell r="BS150">
            <v>0</v>
          </cell>
          <cell r="BT150">
            <v>0</v>
          </cell>
          <cell r="BU150" t="str">
            <v>P</v>
          </cell>
          <cell r="BV150">
            <v>0</v>
          </cell>
          <cell r="BW150">
            <v>0</v>
          </cell>
          <cell r="BX150" t="str">
            <v>A</v>
          </cell>
          <cell r="BY150">
            <v>0</v>
          </cell>
          <cell r="BZ150">
            <v>0</v>
          </cell>
          <cell r="CA150" t="str">
            <v>A</v>
          </cell>
          <cell r="CB150">
            <v>0</v>
          </cell>
          <cell r="CC150">
            <v>0</v>
          </cell>
          <cell r="CD150" t="str">
            <v>A</v>
          </cell>
          <cell r="CE150">
            <v>0</v>
          </cell>
          <cell r="CF150">
            <v>0</v>
          </cell>
          <cell r="CG150" t="str">
            <v>A</v>
          </cell>
          <cell r="CH150">
            <v>0</v>
          </cell>
          <cell r="CI150">
            <v>0</v>
          </cell>
          <cell r="CJ150" t="str">
            <v>A</v>
          </cell>
          <cell r="CK150">
            <v>0</v>
          </cell>
          <cell r="CL150">
            <v>0</v>
          </cell>
          <cell r="CM150" t="str">
            <v>A</v>
          </cell>
          <cell r="CN150">
            <v>0</v>
          </cell>
          <cell r="CO150">
            <v>0</v>
          </cell>
          <cell r="CP150" t="str">
            <v>A</v>
          </cell>
          <cell r="CQ150">
            <v>0</v>
          </cell>
          <cell r="CR150">
            <v>0</v>
          </cell>
          <cell r="CS150" t="str">
            <v>A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13</v>
          </cell>
          <cell r="DG150">
            <v>0</v>
          </cell>
          <cell r="DH150">
            <v>0</v>
          </cell>
          <cell r="DI150">
            <v>8</v>
          </cell>
          <cell r="DJ150">
            <v>0</v>
          </cell>
          <cell r="DK150">
            <v>0</v>
          </cell>
          <cell r="DL150">
            <v>2</v>
          </cell>
          <cell r="DM150">
            <v>13</v>
          </cell>
          <cell r="DN150">
            <v>23</v>
          </cell>
          <cell r="DO150">
            <v>0</v>
          </cell>
          <cell r="DP150">
            <v>0</v>
          </cell>
          <cell r="DQ150">
            <v>0</v>
          </cell>
          <cell r="DR150">
            <v>200</v>
          </cell>
        </row>
        <row r="151">
          <cell r="D151" t="str">
            <v>SHE441</v>
          </cell>
          <cell r="E151">
            <v>0</v>
          </cell>
          <cell r="F151">
            <v>0</v>
          </cell>
          <cell r="G151" t="str">
            <v>Rohit Prakashbhai Ambala</v>
          </cell>
          <cell r="H151" t="str">
            <v>Direct Labour Wage</v>
          </cell>
          <cell r="I151">
            <v>0</v>
          </cell>
          <cell r="J151" t="str">
            <v>Core Factory</v>
          </cell>
          <cell r="K151" t="str">
            <v>Mu-Metal</v>
          </cell>
          <cell r="L151" t="str">
            <v>Bobin Maker</v>
          </cell>
          <cell r="M151" t="str">
            <v>Operator</v>
          </cell>
          <cell r="N151">
            <v>46063</v>
          </cell>
          <cell r="O151">
            <v>6.575342465753424E-2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 t="str">
            <v>P</v>
          </cell>
          <cell r="AR151">
            <v>0</v>
          </cell>
          <cell r="AS151">
            <v>1</v>
          </cell>
          <cell r="AT151" t="str">
            <v>P</v>
          </cell>
          <cell r="AU151">
            <v>0</v>
          </cell>
          <cell r="AV151">
            <v>2</v>
          </cell>
          <cell r="AW151" t="str">
            <v>P</v>
          </cell>
          <cell r="AX151">
            <v>0</v>
          </cell>
          <cell r="AY151">
            <v>2</v>
          </cell>
          <cell r="AZ151" t="str">
            <v>P</v>
          </cell>
          <cell r="BA151">
            <v>0</v>
          </cell>
          <cell r="BB151">
            <v>0</v>
          </cell>
          <cell r="BC151" t="str">
            <v>P</v>
          </cell>
          <cell r="BD151">
            <v>0</v>
          </cell>
          <cell r="BE151">
            <v>0</v>
          </cell>
          <cell r="BF151" t="str">
            <v>S</v>
          </cell>
          <cell r="BG151">
            <v>0</v>
          </cell>
          <cell r="BH151">
            <v>0</v>
          </cell>
          <cell r="BI151" t="str">
            <v>A</v>
          </cell>
          <cell r="BJ151">
            <v>0</v>
          </cell>
          <cell r="BK151">
            <v>0</v>
          </cell>
          <cell r="BL151" t="str">
            <v>P</v>
          </cell>
          <cell r="BM151">
            <v>0</v>
          </cell>
          <cell r="BN151">
            <v>0</v>
          </cell>
          <cell r="BO151" t="str">
            <v>P</v>
          </cell>
          <cell r="BP151">
            <v>0</v>
          </cell>
          <cell r="BQ151">
            <v>0</v>
          </cell>
          <cell r="BR151" t="str">
            <v>P</v>
          </cell>
          <cell r="BS151">
            <v>0</v>
          </cell>
          <cell r="BT151">
            <v>0</v>
          </cell>
          <cell r="BU151" t="str">
            <v>A</v>
          </cell>
          <cell r="BV151">
            <v>0</v>
          </cell>
          <cell r="BW151">
            <v>0</v>
          </cell>
          <cell r="BX151" t="str">
            <v>P</v>
          </cell>
          <cell r="BY151">
            <v>0</v>
          </cell>
          <cell r="BZ151">
            <v>0</v>
          </cell>
          <cell r="CA151" t="str">
            <v>S</v>
          </cell>
          <cell r="CB151">
            <v>0</v>
          </cell>
          <cell r="CC151">
            <v>4</v>
          </cell>
          <cell r="CD151" t="str">
            <v>HD</v>
          </cell>
          <cell r="CE151">
            <v>0</v>
          </cell>
          <cell r="CF151">
            <v>1</v>
          </cell>
          <cell r="CG151" t="str">
            <v>P</v>
          </cell>
          <cell r="CH151">
            <v>0</v>
          </cell>
          <cell r="CI151">
            <v>0</v>
          </cell>
          <cell r="CJ151" t="str">
            <v>P</v>
          </cell>
          <cell r="CK151">
            <v>0</v>
          </cell>
          <cell r="CL151">
            <v>0</v>
          </cell>
          <cell r="CM151" t="str">
            <v>P</v>
          </cell>
          <cell r="CN151">
            <v>0</v>
          </cell>
          <cell r="CO151">
            <v>0</v>
          </cell>
          <cell r="CP151" t="str">
            <v>P</v>
          </cell>
          <cell r="CQ151">
            <v>0</v>
          </cell>
          <cell r="CR151">
            <v>0</v>
          </cell>
          <cell r="CS151" t="str">
            <v>P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0.5</v>
          </cell>
          <cell r="DF151">
            <v>14.5</v>
          </cell>
          <cell r="DG151">
            <v>0</v>
          </cell>
          <cell r="DH151">
            <v>10</v>
          </cell>
          <cell r="DI151">
            <v>2.5</v>
          </cell>
          <cell r="DJ151">
            <v>0</v>
          </cell>
          <cell r="DK151">
            <v>0</v>
          </cell>
          <cell r="DL151">
            <v>2</v>
          </cell>
          <cell r="DM151">
            <v>14.5</v>
          </cell>
          <cell r="DN151">
            <v>19</v>
          </cell>
          <cell r="DO151">
            <v>0</v>
          </cell>
          <cell r="DP151">
            <v>8</v>
          </cell>
          <cell r="DQ151">
            <v>350</v>
          </cell>
          <cell r="DR151">
            <v>0</v>
          </cell>
        </row>
        <row r="152">
          <cell r="D152" t="str">
            <v>SHE442</v>
          </cell>
          <cell r="E152">
            <v>0</v>
          </cell>
          <cell r="F152">
            <v>0</v>
          </cell>
          <cell r="G152" t="str">
            <v>Satya Dev Ram Dayal</v>
          </cell>
          <cell r="H152" t="str">
            <v>Direct Labour Wage</v>
          </cell>
          <cell r="I152">
            <v>0</v>
          </cell>
          <cell r="J152" t="str">
            <v>Core Factory</v>
          </cell>
          <cell r="K152" t="str">
            <v>Coil Winding</v>
          </cell>
          <cell r="L152" t="str">
            <v>Primary Set</v>
          </cell>
          <cell r="M152" t="str">
            <v>Operator</v>
          </cell>
          <cell r="N152">
            <v>46063</v>
          </cell>
          <cell r="O152">
            <v>6.575342465753424E-2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 t="str">
            <v>T</v>
          </cell>
          <cell r="AR152">
            <v>0</v>
          </cell>
          <cell r="AS152">
            <v>0</v>
          </cell>
          <cell r="AT152" t="str">
            <v>T</v>
          </cell>
          <cell r="AU152">
            <v>0</v>
          </cell>
          <cell r="AV152">
            <v>0</v>
          </cell>
          <cell r="AW152" t="str">
            <v>T</v>
          </cell>
          <cell r="AX152">
            <v>0</v>
          </cell>
          <cell r="AY152">
            <v>0</v>
          </cell>
          <cell r="AZ152" t="str">
            <v>T</v>
          </cell>
          <cell r="BA152">
            <v>0</v>
          </cell>
          <cell r="BB152">
            <v>0</v>
          </cell>
          <cell r="BC152" t="str">
            <v>T</v>
          </cell>
          <cell r="BD152">
            <v>0</v>
          </cell>
          <cell r="BE152">
            <v>0</v>
          </cell>
          <cell r="BF152" t="str">
            <v>T</v>
          </cell>
          <cell r="BG152">
            <v>0</v>
          </cell>
          <cell r="BH152">
            <v>0</v>
          </cell>
          <cell r="BI152" t="str">
            <v>T</v>
          </cell>
          <cell r="BJ152">
            <v>0</v>
          </cell>
          <cell r="BK152">
            <v>0</v>
          </cell>
          <cell r="BL152" t="str">
            <v>T</v>
          </cell>
          <cell r="BM152">
            <v>0</v>
          </cell>
          <cell r="BN152">
            <v>0</v>
          </cell>
          <cell r="BO152" t="str">
            <v>T</v>
          </cell>
          <cell r="BP152">
            <v>0</v>
          </cell>
          <cell r="BQ152">
            <v>0</v>
          </cell>
          <cell r="BR152" t="str">
            <v>T</v>
          </cell>
          <cell r="BS152">
            <v>0</v>
          </cell>
          <cell r="BT152">
            <v>0</v>
          </cell>
          <cell r="BU152" t="str">
            <v>T</v>
          </cell>
          <cell r="BV152">
            <v>0</v>
          </cell>
          <cell r="BW152">
            <v>0</v>
          </cell>
          <cell r="BX152" t="str">
            <v>T</v>
          </cell>
          <cell r="BY152">
            <v>0</v>
          </cell>
          <cell r="BZ152">
            <v>0</v>
          </cell>
          <cell r="CA152" t="str">
            <v>T</v>
          </cell>
          <cell r="CB152">
            <v>0</v>
          </cell>
          <cell r="CC152">
            <v>0</v>
          </cell>
          <cell r="CD152" t="str">
            <v>T</v>
          </cell>
          <cell r="CE152">
            <v>0</v>
          </cell>
          <cell r="CF152">
            <v>0</v>
          </cell>
          <cell r="CG152" t="str">
            <v>T</v>
          </cell>
          <cell r="CH152">
            <v>0</v>
          </cell>
          <cell r="CI152">
            <v>0</v>
          </cell>
          <cell r="CJ152" t="str">
            <v>T</v>
          </cell>
          <cell r="CK152">
            <v>0</v>
          </cell>
          <cell r="CL152">
            <v>0</v>
          </cell>
          <cell r="CM152" t="str">
            <v>T</v>
          </cell>
          <cell r="CN152">
            <v>0</v>
          </cell>
          <cell r="CO152">
            <v>0</v>
          </cell>
          <cell r="CP152" t="str">
            <v>T</v>
          </cell>
          <cell r="CQ152">
            <v>0</v>
          </cell>
          <cell r="CR152">
            <v>0</v>
          </cell>
          <cell r="CS152" t="str">
            <v>T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19</v>
          </cell>
          <cell r="DO152">
            <v>19</v>
          </cell>
          <cell r="DP152">
            <v>0</v>
          </cell>
          <cell r="DQ152">
            <v>0</v>
          </cell>
          <cell r="DR152">
            <v>0</v>
          </cell>
        </row>
        <row r="153">
          <cell r="D153" t="str">
            <v>SHE444</v>
          </cell>
          <cell r="E153">
            <v>0</v>
          </cell>
          <cell r="F153">
            <v>0</v>
          </cell>
          <cell r="G153" t="str">
            <v>Ravi Shankar Shyam Lal</v>
          </cell>
          <cell r="H153" t="str">
            <v>Direct Labour Wage</v>
          </cell>
          <cell r="I153">
            <v>0</v>
          </cell>
          <cell r="J153" t="str">
            <v>Core Factory</v>
          </cell>
          <cell r="K153" t="str">
            <v>Coil Winding</v>
          </cell>
          <cell r="L153" t="str">
            <v>Primary Set</v>
          </cell>
          <cell r="M153" t="str">
            <v>Operator</v>
          </cell>
          <cell r="N153">
            <v>46063</v>
          </cell>
          <cell r="O153">
            <v>6.575342465753424E-2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 t="str">
            <v>T</v>
          </cell>
          <cell r="AR153">
            <v>0</v>
          </cell>
          <cell r="AS153">
            <v>0</v>
          </cell>
          <cell r="AT153" t="str">
            <v>T</v>
          </cell>
          <cell r="AU153">
            <v>0</v>
          </cell>
          <cell r="AV153">
            <v>0</v>
          </cell>
          <cell r="AW153" t="str">
            <v>T</v>
          </cell>
          <cell r="AX153">
            <v>0</v>
          </cell>
          <cell r="AY153">
            <v>0</v>
          </cell>
          <cell r="AZ153" t="str">
            <v>T</v>
          </cell>
          <cell r="BA153">
            <v>0</v>
          </cell>
          <cell r="BB153">
            <v>0</v>
          </cell>
          <cell r="BC153" t="str">
            <v>T</v>
          </cell>
          <cell r="BD153">
            <v>0</v>
          </cell>
          <cell r="BE153">
            <v>0</v>
          </cell>
          <cell r="BF153" t="str">
            <v>T</v>
          </cell>
          <cell r="BG153">
            <v>0</v>
          </cell>
          <cell r="BH153">
            <v>0</v>
          </cell>
          <cell r="BI153" t="str">
            <v>T</v>
          </cell>
          <cell r="BJ153">
            <v>0</v>
          </cell>
          <cell r="BK153">
            <v>0</v>
          </cell>
          <cell r="BL153" t="str">
            <v>T</v>
          </cell>
          <cell r="BM153">
            <v>0</v>
          </cell>
          <cell r="BN153">
            <v>0</v>
          </cell>
          <cell r="BO153" t="str">
            <v>T</v>
          </cell>
          <cell r="BP153">
            <v>0</v>
          </cell>
          <cell r="BQ153">
            <v>0</v>
          </cell>
          <cell r="BR153" t="str">
            <v>T</v>
          </cell>
          <cell r="BS153">
            <v>0</v>
          </cell>
          <cell r="BT153">
            <v>0</v>
          </cell>
          <cell r="BU153" t="str">
            <v>T</v>
          </cell>
          <cell r="BV153">
            <v>0</v>
          </cell>
          <cell r="BW153">
            <v>0</v>
          </cell>
          <cell r="BX153" t="str">
            <v>T</v>
          </cell>
          <cell r="BY153">
            <v>0</v>
          </cell>
          <cell r="BZ153">
            <v>0</v>
          </cell>
          <cell r="CA153" t="str">
            <v>T</v>
          </cell>
          <cell r="CB153">
            <v>0</v>
          </cell>
          <cell r="CC153">
            <v>0</v>
          </cell>
          <cell r="CD153" t="str">
            <v>T</v>
          </cell>
          <cell r="CE153">
            <v>0</v>
          </cell>
          <cell r="CF153">
            <v>0</v>
          </cell>
          <cell r="CG153" t="str">
            <v>T</v>
          </cell>
          <cell r="CH153">
            <v>0</v>
          </cell>
          <cell r="CI153">
            <v>0</v>
          </cell>
          <cell r="CJ153" t="str">
            <v>T</v>
          </cell>
          <cell r="CK153">
            <v>0</v>
          </cell>
          <cell r="CL153">
            <v>0</v>
          </cell>
          <cell r="CM153" t="str">
            <v>T</v>
          </cell>
          <cell r="CN153">
            <v>0</v>
          </cell>
          <cell r="CO153">
            <v>0</v>
          </cell>
          <cell r="CP153" t="str">
            <v>T</v>
          </cell>
          <cell r="CQ153">
            <v>0</v>
          </cell>
          <cell r="CR153">
            <v>0</v>
          </cell>
          <cell r="CS153" t="str">
            <v>T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19</v>
          </cell>
          <cell r="DO153">
            <v>19</v>
          </cell>
          <cell r="DP153">
            <v>0</v>
          </cell>
          <cell r="DQ153">
            <v>0</v>
          </cell>
          <cell r="DR153">
            <v>0</v>
          </cell>
        </row>
        <row r="154">
          <cell r="D154" t="str">
            <v>SHE445</v>
          </cell>
          <cell r="E154">
            <v>0</v>
          </cell>
          <cell r="F154">
            <v>0</v>
          </cell>
          <cell r="G154" t="str">
            <v>Ramendra Kumar Shyam Lal</v>
          </cell>
          <cell r="H154" t="str">
            <v>Direct Labour Wage</v>
          </cell>
          <cell r="I154">
            <v>0</v>
          </cell>
          <cell r="J154" t="str">
            <v>Core Factory</v>
          </cell>
          <cell r="K154" t="str">
            <v>Coil Winding</v>
          </cell>
          <cell r="L154" t="str">
            <v>Hand Winding</v>
          </cell>
          <cell r="M154" t="str">
            <v>Operator</v>
          </cell>
          <cell r="N154">
            <v>46064</v>
          </cell>
          <cell r="O154">
            <v>6.3013698630136991E-2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 t="str">
            <v>P</v>
          </cell>
          <cell r="AU154">
            <v>0</v>
          </cell>
          <cell r="AV154">
            <v>2</v>
          </cell>
          <cell r="AW154" t="str">
            <v>P</v>
          </cell>
          <cell r="AX154">
            <v>0</v>
          </cell>
          <cell r="AY154">
            <v>2</v>
          </cell>
          <cell r="AZ154" t="str">
            <v>P</v>
          </cell>
          <cell r="BA154">
            <v>0</v>
          </cell>
          <cell r="BB154">
            <v>2</v>
          </cell>
          <cell r="BC154" t="str">
            <v>P</v>
          </cell>
          <cell r="BD154">
            <v>0</v>
          </cell>
          <cell r="BE154">
            <v>2</v>
          </cell>
          <cell r="BF154" t="str">
            <v>S</v>
          </cell>
          <cell r="BG154">
            <v>0</v>
          </cell>
          <cell r="BH154">
            <v>5.5</v>
          </cell>
          <cell r="BI154" t="str">
            <v>P</v>
          </cell>
          <cell r="BJ154">
            <v>0</v>
          </cell>
          <cell r="BK154">
            <v>2</v>
          </cell>
          <cell r="BL154" t="str">
            <v>P</v>
          </cell>
          <cell r="BM154">
            <v>0</v>
          </cell>
          <cell r="BN154">
            <v>2</v>
          </cell>
          <cell r="BO154" t="str">
            <v>P</v>
          </cell>
          <cell r="BP154">
            <v>0</v>
          </cell>
          <cell r="BQ154">
            <v>2</v>
          </cell>
          <cell r="BR154" t="str">
            <v>P</v>
          </cell>
          <cell r="BS154">
            <v>0</v>
          </cell>
          <cell r="BT154">
            <v>2</v>
          </cell>
          <cell r="BU154" t="str">
            <v>P</v>
          </cell>
          <cell r="BV154">
            <v>0</v>
          </cell>
          <cell r="BW154">
            <v>2</v>
          </cell>
          <cell r="BX154" t="str">
            <v>P</v>
          </cell>
          <cell r="BY154">
            <v>0</v>
          </cell>
          <cell r="BZ154">
            <v>2</v>
          </cell>
          <cell r="CA154" t="str">
            <v>S</v>
          </cell>
          <cell r="CB154">
            <v>0</v>
          </cell>
          <cell r="CC154">
            <v>6</v>
          </cell>
          <cell r="CD154" t="str">
            <v>P</v>
          </cell>
          <cell r="CE154">
            <v>0</v>
          </cell>
          <cell r="CF154">
            <v>2</v>
          </cell>
          <cell r="CG154" t="str">
            <v>P</v>
          </cell>
          <cell r="CH154">
            <v>0</v>
          </cell>
          <cell r="CI154">
            <v>2.5</v>
          </cell>
          <cell r="CJ154" t="str">
            <v>P</v>
          </cell>
          <cell r="CK154">
            <v>0</v>
          </cell>
          <cell r="CL154">
            <v>2</v>
          </cell>
          <cell r="CM154" t="str">
            <v>P</v>
          </cell>
          <cell r="CN154">
            <v>0</v>
          </cell>
          <cell r="CO154">
            <v>2</v>
          </cell>
          <cell r="CP154" t="str">
            <v>P</v>
          </cell>
          <cell r="CQ154">
            <v>0</v>
          </cell>
          <cell r="CR154">
            <v>2</v>
          </cell>
          <cell r="CS154" t="str">
            <v>P</v>
          </cell>
          <cell r="CT154">
            <v>0</v>
          </cell>
          <cell r="CU154">
            <v>2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16</v>
          </cell>
          <cell r="DG154">
            <v>0</v>
          </cell>
          <cell r="DH154">
            <v>44</v>
          </cell>
          <cell r="DI154">
            <v>0</v>
          </cell>
          <cell r="DJ154">
            <v>0</v>
          </cell>
          <cell r="DK154">
            <v>0</v>
          </cell>
          <cell r="DL154">
            <v>2</v>
          </cell>
          <cell r="DM154">
            <v>16</v>
          </cell>
          <cell r="DN154">
            <v>18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</row>
        <row r="155">
          <cell r="D155" t="str">
            <v>SHE450</v>
          </cell>
          <cell r="E155">
            <v>0</v>
          </cell>
          <cell r="F155">
            <v>0</v>
          </cell>
          <cell r="G155" t="str">
            <v>Sindha Kiranbhai Manubhai</v>
          </cell>
          <cell r="H155" t="str">
            <v>Direct Labour Wage</v>
          </cell>
          <cell r="I155">
            <v>0</v>
          </cell>
          <cell r="J155" t="str">
            <v>Core Factory</v>
          </cell>
          <cell r="K155" t="str">
            <v>Coil Winding</v>
          </cell>
          <cell r="L155" t="str">
            <v>Hand Winding</v>
          </cell>
          <cell r="M155" t="str">
            <v>Helper</v>
          </cell>
          <cell r="N155">
            <v>46055</v>
          </cell>
          <cell r="O155">
            <v>8.7671232876712329E-2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 t="str">
            <v>P</v>
          </cell>
          <cell r="Z155">
            <v>0</v>
          </cell>
          <cell r="AA155">
            <v>0</v>
          </cell>
          <cell r="AB155" t="str">
            <v>P</v>
          </cell>
          <cell r="AC155">
            <v>0</v>
          </cell>
          <cell r="AD155">
            <v>0</v>
          </cell>
          <cell r="AE155" t="str">
            <v>P</v>
          </cell>
          <cell r="AF155">
            <v>0</v>
          </cell>
          <cell r="AG155">
            <v>0</v>
          </cell>
          <cell r="AH155" t="str">
            <v>P</v>
          </cell>
          <cell r="AI155">
            <v>0</v>
          </cell>
          <cell r="AJ155">
            <v>0</v>
          </cell>
          <cell r="AK155" t="str">
            <v>S</v>
          </cell>
          <cell r="AL155">
            <v>0</v>
          </cell>
          <cell r="AM155">
            <v>0</v>
          </cell>
          <cell r="AN155" t="str">
            <v>P</v>
          </cell>
          <cell r="AO155">
            <v>0</v>
          </cell>
          <cell r="AP155">
            <v>0</v>
          </cell>
          <cell r="AQ155" t="str">
            <v>P</v>
          </cell>
          <cell r="AR155">
            <v>0</v>
          </cell>
          <cell r="AS155">
            <v>0</v>
          </cell>
          <cell r="AT155" t="str">
            <v>P</v>
          </cell>
          <cell r="AU155">
            <v>0</v>
          </cell>
          <cell r="AV155">
            <v>0</v>
          </cell>
          <cell r="AW155" t="str">
            <v>P</v>
          </cell>
          <cell r="AX155">
            <v>0</v>
          </cell>
          <cell r="AY155">
            <v>0</v>
          </cell>
          <cell r="AZ155" t="str">
            <v>P</v>
          </cell>
          <cell r="BA155">
            <v>0</v>
          </cell>
          <cell r="BB155">
            <v>0</v>
          </cell>
          <cell r="BC155" t="str">
            <v>A</v>
          </cell>
          <cell r="BD155">
            <v>0</v>
          </cell>
          <cell r="BE155">
            <v>0</v>
          </cell>
          <cell r="BF155" t="str">
            <v>S</v>
          </cell>
          <cell r="BG155">
            <v>0</v>
          </cell>
          <cell r="BH155">
            <v>0</v>
          </cell>
          <cell r="BI155" t="str">
            <v>P</v>
          </cell>
          <cell r="BJ155">
            <v>0</v>
          </cell>
          <cell r="BK155">
            <v>0</v>
          </cell>
          <cell r="BL155" t="str">
            <v>P</v>
          </cell>
          <cell r="BM155">
            <v>0</v>
          </cell>
          <cell r="BN155">
            <v>0</v>
          </cell>
          <cell r="BO155" t="str">
            <v>P</v>
          </cell>
          <cell r="BP155">
            <v>0</v>
          </cell>
          <cell r="BQ155">
            <v>0</v>
          </cell>
          <cell r="BR155" t="str">
            <v>P</v>
          </cell>
          <cell r="BS155">
            <v>0</v>
          </cell>
          <cell r="BT155">
            <v>0</v>
          </cell>
          <cell r="BU155" t="str">
            <v>P</v>
          </cell>
          <cell r="BV155">
            <v>0</v>
          </cell>
          <cell r="BW155">
            <v>0</v>
          </cell>
          <cell r="BX155" t="str">
            <v>P</v>
          </cell>
          <cell r="BY155">
            <v>0</v>
          </cell>
          <cell r="BZ155">
            <v>0</v>
          </cell>
          <cell r="CA155" t="str">
            <v>S</v>
          </cell>
          <cell r="CB155">
            <v>0</v>
          </cell>
          <cell r="CC155">
            <v>0</v>
          </cell>
          <cell r="CD155" t="str">
            <v>P</v>
          </cell>
          <cell r="CE155">
            <v>0</v>
          </cell>
          <cell r="CF155">
            <v>0</v>
          </cell>
          <cell r="CG155" t="str">
            <v>P</v>
          </cell>
          <cell r="CH155">
            <v>0</v>
          </cell>
          <cell r="CI155">
            <v>0</v>
          </cell>
          <cell r="CJ155" t="str">
            <v>P</v>
          </cell>
          <cell r="CK155">
            <v>0</v>
          </cell>
          <cell r="CL155">
            <v>0</v>
          </cell>
          <cell r="CM155" t="str">
            <v>P</v>
          </cell>
          <cell r="CN155">
            <v>0</v>
          </cell>
          <cell r="CO155">
            <v>0</v>
          </cell>
          <cell r="CP155" t="str">
            <v>P</v>
          </cell>
          <cell r="CQ155">
            <v>0</v>
          </cell>
          <cell r="CR155">
            <v>0</v>
          </cell>
          <cell r="CS155" t="str">
            <v>P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21</v>
          </cell>
          <cell r="DG155">
            <v>0</v>
          </cell>
          <cell r="DH155">
            <v>0</v>
          </cell>
          <cell r="DI155">
            <v>1</v>
          </cell>
          <cell r="DJ155">
            <v>0</v>
          </cell>
          <cell r="DK155">
            <v>0</v>
          </cell>
          <cell r="DL155">
            <v>3</v>
          </cell>
          <cell r="DM155">
            <v>21</v>
          </cell>
          <cell r="DN155">
            <v>25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V"/>
      <sheetName val="Core"/>
      <sheetName val="Bushing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SHE419</v>
          </cell>
          <cell r="C3" t="str">
            <v>Ajay Chandan</v>
          </cell>
          <cell r="D3">
            <v>15312.867040000001</v>
          </cell>
        </row>
        <row r="4">
          <cell r="B4" t="str">
            <v>SHE354</v>
          </cell>
          <cell r="C4" t="str">
            <v>Nikhil Kumar</v>
          </cell>
          <cell r="D4">
            <v>15983.4</v>
          </cell>
        </row>
        <row r="5">
          <cell r="B5" t="str">
            <v>NUC0117</v>
          </cell>
          <cell r="C5" t="str">
            <v>Govindlal Ramkishor</v>
          </cell>
          <cell r="D5">
            <v>28542.666666666668</v>
          </cell>
        </row>
        <row r="6">
          <cell r="B6" t="str">
            <v>NUC0035</v>
          </cell>
          <cell r="C6" t="str">
            <v>Ram Adesh Ram Lakhan</v>
          </cell>
          <cell r="D6">
            <v>28542.666666666668</v>
          </cell>
        </row>
        <row r="7">
          <cell r="B7" t="str">
            <v>NUC0057</v>
          </cell>
          <cell r="C7" t="str">
            <v>Bharat Lal Deshraj</v>
          </cell>
          <cell r="D7">
            <v>28542.666666666668</v>
          </cell>
        </row>
        <row r="8">
          <cell r="B8" t="str">
            <v>SHE443</v>
          </cell>
          <cell r="C8" t="str">
            <v>Pradeep Kumar Ram Naresh</v>
          </cell>
          <cell r="D8">
            <v>20479</v>
          </cell>
        </row>
        <row r="9">
          <cell r="B9" t="str">
            <v>NUC0064</v>
          </cell>
          <cell r="C9" t="str">
            <v>Shyam Baburam</v>
          </cell>
          <cell r="D9">
            <v>38994</v>
          </cell>
        </row>
        <row r="10">
          <cell r="B10" t="str">
            <v>NUC1013</v>
          </cell>
          <cell r="C10" t="str">
            <v>Gautam Shukhraj</v>
          </cell>
          <cell r="D10">
            <v>28465</v>
          </cell>
        </row>
        <row r="11">
          <cell r="B11" t="str">
            <v>NUC1014</v>
          </cell>
          <cell r="C11" t="str">
            <v>Ranjan lal Chandrapal</v>
          </cell>
          <cell r="D11">
            <v>28109</v>
          </cell>
        </row>
        <row r="12">
          <cell r="B12" t="str">
            <v>CFCP0397</v>
          </cell>
          <cell r="C12" t="str">
            <v>Sachin Ramsumer Patel</v>
          </cell>
          <cell r="D12">
            <v>29532</v>
          </cell>
        </row>
        <row r="13">
          <cell r="B13" t="str">
            <v>CFCP0046</v>
          </cell>
          <cell r="C13" t="str">
            <v>RAMU BABU LAL</v>
          </cell>
          <cell r="D13">
            <v>17480.5</v>
          </cell>
        </row>
        <row r="14">
          <cell r="B14" t="str">
            <v>CFCP0809</v>
          </cell>
          <cell r="C14" t="str">
            <v>Arpit Gaur Shyam Sundar</v>
          </cell>
          <cell r="D14">
            <v>16473.25</v>
          </cell>
        </row>
        <row r="15">
          <cell r="B15" t="str">
            <v>CFCP0843</v>
          </cell>
          <cell r="C15" t="str">
            <v>HARI PAL RAMKEVAL SAROJ</v>
          </cell>
          <cell r="D15">
            <v>25373.25</v>
          </cell>
        </row>
        <row r="16">
          <cell r="B16" t="str">
            <v>CFCP0853</v>
          </cell>
          <cell r="C16" t="str">
            <v>Karan Ramkali</v>
          </cell>
          <cell r="D16">
            <v>18213</v>
          </cell>
        </row>
        <row r="17">
          <cell r="B17" t="str">
            <v>CFCP0870</v>
          </cell>
          <cell r="C17" t="str">
            <v>Mohan Lal Angan Lal</v>
          </cell>
          <cell r="D17">
            <v>31386.5</v>
          </cell>
        </row>
        <row r="18">
          <cell r="B18" t="str">
            <v>CFCP0114</v>
          </cell>
          <cell r="C18" t="str">
            <v>Vishram Kallu Prasad</v>
          </cell>
          <cell r="D18">
            <v>13601.5</v>
          </cell>
        </row>
        <row r="19">
          <cell r="B19" t="str">
            <v>CFCP0602</v>
          </cell>
          <cell r="C19" t="str">
            <v>HEMRAJ ASHRAM</v>
          </cell>
          <cell r="D19">
            <v>4984</v>
          </cell>
        </row>
        <row r="20">
          <cell r="B20" t="str">
            <v>CFCP0005</v>
          </cell>
          <cell r="C20" t="str">
            <v>Vinay Kumar Kalishankar</v>
          </cell>
          <cell r="D20">
            <v>44863.199999999997</v>
          </cell>
        </row>
        <row r="21">
          <cell r="B21" t="str">
            <v>CFCP0101</v>
          </cell>
          <cell r="C21" t="str">
            <v>Sushil JagdishPrasad Yadav</v>
          </cell>
          <cell r="D21">
            <v>6275.3</v>
          </cell>
        </row>
        <row r="22">
          <cell r="B22" t="str">
            <v>CFCP0073</v>
          </cell>
          <cell r="C22" t="str">
            <v>Raj Bahadur Soorjdin Yadav</v>
          </cell>
          <cell r="D22">
            <v>35304.5</v>
          </cell>
        </row>
        <row r="23">
          <cell r="B23" t="str">
            <v>NUC0799</v>
          </cell>
          <cell r="C23" t="str">
            <v>Shiv Milan Vishwakarma</v>
          </cell>
          <cell r="D23">
            <v>14651.55</v>
          </cell>
        </row>
        <row r="24">
          <cell r="B24" t="str">
            <v>CFCP0750</v>
          </cell>
          <cell r="C24" t="str">
            <v>Sonu Raju</v>
          </cell>
          <cell r="D24">
            <v>22556.6</v>
          </cell>
        </row>
        <row r="25">
          <cell r="B25" t="str">
            <v>CFCP0743</v>
          </cell>
          <cell r="C25" t="str">
            <v>Prem Kumar Ram Naresh</v>
          </cell>
          <cell r="D25">
            <v>11765</v>
          </cell>
        </row>
        <row r="26">
          <cell r="B26" t="str">
            <v>SHE141</v>
          </cell>
          <cell r="C26" t="str">
            <v>ROHIT TUSHARBHAI CHANDUBHAI</v>
          </cell>
          <cell r="D26">
            <v>10437.5</v>
          </cell>
        </row>
        <row r="27">
          <cell r="B27" t="str">
            <v>CFCP0836</v>
          </cell>
          <cell r="C27" t="str">
            <v>Sanjit Kumar Santram</v>
          </cell>
          <cell r="D27">
            <v>9503</v>
          </cell>
        </row>
        <row r="28">
          <cell r="B28" t="str">
            <v>CFCA0248</v>
          </cell>
          <cell r="C28" t="str">
            <v>Ankit Premdas</v>
          </cell>
          <cell r="D28">
            <v>19742.45</v>
          </cell>
        </row>
        <row r="29">
          <cell r="B29" t="str">
            <v>CFCP0620</v>
          </cell>
          <cell r="C29" t="str">
            <v>Shivam Ram Ganesh</v>
          </cell>
          <cell r="D29">
            <v>11448</v>
          </cell>
        </row>
        <row r="30">
          <cell r="B30" t="str">
            <v>CFCP0749</v>
          </cell>
          <cell r="C30" t="str">
            <v>Abhy Maya</v>
          </cell>
          <cell r="D30">
            <v>22524</v>
          </cell>
        </row>
        <row r="31">
          <cell r="B31" t="str">
            <v>CFCP0787</v>
          </cell>
          <cell r="C31" t="str">
            <v>Praveen Kumar Yadav</v>
          </cell>
          <cell r="D31">
            <v>27868.449999999997</v>
          </cell>
        </row>
        <row r="32">
          <cell r="B32" t="str">
            <v>NUC0160</v>
          </cell>
          <cell r="C32" t="str">
            <v>Ashish Ramesh</v>
          </cell>
          <cell r="D32">
            <v>21419.899999999998</v>
          </cell>
        </row>
        <row r="33">
          <cell r="B33" t="str">
            <v>SHE421</v>
          </cell>
          <cell r="C33" t="str">
            <v>Sateesh Shiv Shankar Tiwari</v>
          </cell>
          <cell r="D33">
            <v>33797.699999999997</v>
          </cell>
        </row>
        <row r="34">
          <cell r="B34" t="str">
            <v>SHE432</v>
          </cell>
          <cell r="C34" t="str">
            <v>Vikas Basant Lal</v>
          </cell>
          <cell r="D34">
            <v>12636.9</v>
          </cell>
        </row>
        <row r="35">
          <cell r="B35" t="str">
            <v>SHE436</v>
          </cell>
          <cell r="C35" t="str">
            <v>Ashish Kumar Om Prakash</v>
          </cell>
          <cell r="D35">
            <v>11780</v>
          </cell>
        </row>
        <row r="36">
          <cell r="B36" t="str">
            <v>SHE012</v>
          </cell>
          <cell r="C36" t="str">
            <v>VIJAYBHAI HARMANBHAI JADAV</v>
          </cell>
          <cell r="D36">
            <v>26322</v>
          </cell>
        </row>
        <row r="37">
          <cell r="B37" t="str">
            <v>SHE178</v>
          </cell>
          <cell r="C37" t="str">
            <v>PARMAR RAJENDRABHAI DAHYABHAI</v>
          </cell>
          <cell r="D37">
            <v>19306.650000000001</v>
          </cell>
        </row>
        <row r="38">
          <cell r="B38" t="str">
            <v>NPIP0090</v>
          </cell>
          <cell r="C38" t="str">
            <v>Bansu Bahadur Shripal</v>
          </cell>
          <cell r="D38">
            <v>37200</v>
          </cell>
        </row>
        <row r="39">
          <cell r="B39" t="str">
            <v>SHE429</v>
          </cell>
          <cell r="C39" t="str">
            <v>Dharmendra Nandlal Saroj</v>
          </cell>
          <cell r="D39">
            <v>37200</v>
          </cell>
        </row>
        <row r="40">
          <cell r="B40" t="str">
            <v>NPIA0403</v>
          </cell>
          <cell r="C40" t="str">
            <v>RAHUL HARIRAM KUMAR</v>
          </cell>
          <cell r="D40">
            <v>37150</v>
          </cell>
        </row>
        <row r="41">
          <cell r="B41" t="str">
            <v>SHE427</v>
          </cell>
          <cell r="C41" t="str">
            <v>Vijay Kumar Sohan Lal</v>
          </cell>
          <cell r="D41">
            <v>37165</v>
          </cell>
        </row>
        <row r="42">
          <cell r="B42" t="str">
            <v>SHE352</v>
          </cell>
          <cell r="C42" t="str">
            <v>Rinku Paswan Angan</v>
          </cell>
          <cell r="D42">
            <v>15700</v>
          </cell>
        </row>
        <row r="43">
          <cell r="B43" t="str">
            <v>SHE426</v>
          </cell>
          <cell r="C43" t="str">
            <v>Shiv Kumar Sohan lal</v>
          </cell>
          <cell r="D43">
            <v>26600</v>
          </cell>
        </row>
        <row r="44">
          <cell r="B44" t="str">
            <v>SHE430</v>
          </cell>
          <cell r="C44" t="str">
            <v>Vijay Bahadur Ramdas</v>
          </cell>
          <cell r="D44">
            <v>25950</v>
          </cell>
        </row>
        <row r="45">
          <cell r="B45" t="str">
            <v>NUC0820</v>
          </cell>
          <cell r="C45" t="str">
            <v>Ravindra Kumar Ram Sajivan</v>
          </cell>
          <cell r="D45">
            <v>26600</v>
          </cell>
        </row>
        <row r="46">
          <cell r="B46" t="str">
            <v>NUC0990</v>
          </cell>
          <cell r="C46" t="str">
            <v>Rohit kumar Satrohan</v>
          </cell>
          <cell r="D46">
            <v>26600</v>
          </cell>
        </row>
        <row r="47">
          <cell r="B47" t="str">
            <v>NPIP0104</v>
          </cell>
          <cell r="C47" t="str">
            <v>Sanjay Ram sajivan</v>
          </cell>
          <cell r="D47">
            <v>18319</v>
          </cell>
        </row>
        <row r="48">
          <cell r="B48" t="str">
            <v>CFCA0240</v>
          </cell>
          <cell r="C48" t="str">
            <v>Vinod rakesh saroj</v>
          </cell>
          <cell r="D48">
            <v>21645</v>
          </cell>
        </row>
        <row r="49">
          <cell r="B49" t="str">
            <v>NUC0959</v>
          </cell>
          <cell r="C49" t="str">
            <v>Dhanraj Mohan lal</v>
          </cell>
          <cell r="D49">
            <v>11360</v>
          </cell>
        </row>
        <row r="50">
          <cell r="B50" t="str">
            <v>CFCP0611</v>
          </cell>
          <cell r="C50" t="str">
            <v>Rahulkumar Suresh Kumar</v>
          </cell>
          <cell r="D50">
            <v>22954</v>
          </cell>
        </row>
        <row r="51">
          <cell r="B51" t="str">
            <v>CFCP0222</v>
          </cell>
          <cell r="C51" t="str">
            <v>Rohit Kumar Pancham</v>
          </cell>
          <cell r="D51">
            <v>20230</v>
          </cell>
        </row>
        <row r="52">
          <cell r="B52" t="str">
            <v>CFCA0260</v>
          </cell>
          <cell r="C52" t="str">
            <v>Ram Roop Chedilal</v>
          </cell>
          <cell r="D52">
            <v>20799.474999999999</v>
          </cell>
        </row>
        <row r="53">
          <cell r="B53" t="str">
            <v>CFCP0342</v>
          </cell>
          <cell r="C53" t="str">
            <v>Ajay Kumar Amarnath</v>
          </cell>
          <cell r="D53">
            <v>33104.82</v>
          </cell>
        </row>
        <row r="54">
          <cell r="B54" t="str">
            <v>CFCP0320</v>
          </cell>
          <cell r="C54" t="str">
            <v>Abhishek Kumar Chhedilal</v>
          </cell>
          <cell r="D54">
            <v>31025.200000000001</v>
          </cell>
        </row>
        <row r="55">
          <cell r="B55" t="str">
            <v>CFCP0037</v>
          </cell>
          <cell r="C55" t="str">
            <v>ARVIND KUMAR DHARMESH</v>
          </cell>
          <cell r="D55">
            <v>14238.96</v>
          </cell>
        </row>
        <row r="56">
          <cell r="B56" t="str">
            <v>CFCP0185</v>
          </cell>
          <cell r="C56" t="str">
            <v>Sandeep Kumar Basudev</v>
          </cell>
          <cell r="D56">
            <v>32294.629999999997</v>
          </cell>
        </row>
        <row r="57">
          <cell r="B57" t="str">
            <v>CFCP0407</v>
          </cell>
          <cell r="C57" t="str">
            <v>Monu Heera Lal</v>
          </cell>
          <cell r="D57">
            <v>30527.42</v>
          </cell>
        </row>
        <row r="58">
          <cell r="B58" t="str">
            <v>CFCP0084</v>
          </cell>
          <cell r="C58" t="str">
            <v>Vasudev Ramdayal Saroj</v>
          </cell>
          <cell r="D58">
            <v>37472</v>
          </cell>
        </row>
        <row r="59">
          <cell r="B59" t="str">
            <v>SHE442</v>
          </cell>
          <cell r="C59" t="str">
            <v>Satya Dev Ram Dayal</v>
          </cell>
          <cell r="D59">
            <v>37162</v>
          </cell>
        </row>
        <row r="60">
          <cell r="B60" t="str">
            <v>SHE444</v>
          </cell>
          <cell r="C60" t="str">
            <v>Ravi Shankar Shyam Lal</v>
          </cell>
          <cell r="D60">
            <v>37162</v>
          </cell>
        </row>
        <row r="61">
          <cell r="B61" t="str">
            <v>CFCP0115</v>
          </cell>
          <cell r="C61" t="str">
            <v>Kamal Kishor Rajaram</v>
          </cell>
          <cell r="D61">
            <v>28475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-2026"/>
      <sheetName val="SUMMARY"/>
    </sheetNames>
    <sheetDataSet>
      <sheetData sheetId="0" refreshError="1">
        <row r="84">
          <cell r="B84" t="str">
            <v>Divan Mayudinsha</v>
          </cell>
          <cell r="C84">
            <v>11993</v>
          </cell>
          <cell r="D84">
            <v>11993</v>
          </cell>
          <cell r="E84">
            <v>11993</v>
          </cell>
          <cell r="F84">
            <v>11993</v>
          </cell>
          <cell r="G84">
            <v>1439</v>
          </cell>
          <cell r="H84">
            <v>999</v>
          </cell>
          <cell r="I84">
            <v>440</v>
          </cell>
          <cell r="J84">
            <v>0</v>
          </cell>
          <cell r="K84">
            <v>0</v>
          </cell>
          <cell r="L84" t="str">
            <v>U-2</v>
          </cell>
        </row>
        <row r="85">
          <cell r="B85" t="str">
            <v>Deshraj Raja Ram</v>
          </cell>
          <cell r="C85">
            <v>2937</v>
          </cell>
          <cell r="D85">
            <v>2937</v>
          </cell>
          <cell r="E85">
            <v>2937</v>
          </cell>
          <cell r="F85">
            <v>2937</v>
          </cell>
          <cell r="G85">
            <v>352</v>
          </cell>
          <cell r="H85">
            <v>245</v>
          </cell>
          <cell r="I85">
            <v>107</v>
          </cell>
          <cell r="J85">
            <v>0</v>
          </cell>
          <cell r="K85">
            <v>0</v>
          </cell>
          <cell r="L85" t="str">
            <v>U-2</v>
          </cell>
        </row>
        <row r="86">
          <cell r="B86" t="str">
            <v>Satyam Babulal</v>
          </cell>
          <cell r="C86">
            <v>26444</v>
          </cell>
          <cell r="D86">
            <v>15000</v>
          </cell>
          <cell r="E86">
            <v>15000</v>
          </cell>
          <cell r="F86">
            <v>15000</v>
          </cell>
          <cell r="G86">
            <v>1800</v>
          </cell>
          <cell r="H86">
            <v>1250</v>
          </cell>
          <cell r="I86">
            <v>550</v>
          </cell>
          <cell r="J86">
            <v>0</v>
          </cell>
          <cell r="K86">
            <v>0</v>
          </cell>
          <cell r="L86" t="str">
            <v>U-2</v>
          </cell>
        </row>
        <row r="87">
          <cell r="B87" t="str">
            <v>Ravindra Kumar Ram Sajivan</v>
          </cell>
          <cell r="C87">
            <v>37014</v>
          </cell>
          <cell r="D87">
            <v>15000</v>
          </cell>
          <cell r="E87">
            <v>15000</v>
          </cell>
          <cell r="F87">
            <v>15000</v>
          </cell>
          <cell r="G87">
            <v>1800</v>
          </cell>
          <cell r="H87">
            <v>1250</v>
          </cell>
          <cell r="I87">
            <v>550</v>
          </cell>
          <cell r="J87">
            <v>0</v>
          </cell>
          <cell r="K87">
            <v>0</v>
          </cell>
          <cell r="L87" t="str">
            <v>U-2</v>
          </cell>
        </row>
        <row r="88">
          <cell r="B88" t="str">
            <v>Dhanraj Mohan lal</v>
          </cell>
          <cell r="C88">
            <v>21699</v>
          </cell>
          <cell r="D88">
            <v>15000</v>
          </cell>
          <cell r="E88">
            <v>15000</v>
          </cell>
          <cell r="F88">
            <v>15000</v>
          </cell>
          <cell r="G88">
            <v>1800</v>
          </cell>
          <cell r="H88">
            <v>1250</v>
          </cell>
          <cell r="I88">
            <v>550</v>
          </cell>
          <cell r="J88">
            <v>0</v>
          </cell>
          <cell r="K88">
            <v>0</v>
          </cell>
          <cell r="L88" t="str">
            <v>U-2</v>
          </cell>
        </row>
        <row r="89">
          <cell r="B89" t="str">
            <v>Govindlal Ramkishor</v>
          </cell>
          <cell r="C89">
            <v>28903</v>
          </cell>
          <cell r="D89">
            <v>15000</v>
          </cell>
          <cell r="E89">
            <v>15000</v>
          </cell>
          <cell r="F89">
            <v>15000</v>
          </cell>
          <cell r="G89">
            <v>1800</v>
          </cell>
          <cell r="H89">
            <v>1250</v>
          </cell>
          <cell r="I89">
            <v>550</v>
          </cell>
          <cell r="J89">
            <v>0</v>
          </cell>
          <cell r="K89">
            <v>0</v>
          </cell>
          <cell r="L89" t="str">
            <v>U-2</v>
          </cell>
        </row>
        <row r="90">
          <cell r="B90" t="str">
            <v>Rohit kumar Satrohan</v>
          </cell>
          <cell r="C90">
            <v>37137</v>
          </cell>
          <cell r="D90">
            <v>15000</v>
          </cell>
          <cell r="E90">
            <v>15000</v>
          </cell>
          <cell r="F90">
            <v>15000</v>
          </cell>
          <cell r="G90">
            <v>1800</v>
          </cell>
          <cell r="H90">
            <v>1250</v>
          </cell>
          <cell r="I90">
            <v>550</v>
          </cell>
          <cell r="J90">
            <v>0</v>
          </cell>
          <cell r="K90">
            <v>0</v>
          </cell>
          <cell r="L90" t="str">
            <v>U-2</v>
          </cell>
        </row>
        <row r="91">
          <cell r="B91" t="str">
            <v>Rahulkumar Suresh Kumar</v>
          </cell>
          <cell r="C91">
            <v>30644</v>
          </cell>
          <cell r="D91">
            <v>15000</v>
          </cell>
          <cell r="E91">
            <v>15000</v>
          </cell>
          <cell r="F91">
            <v>15000</v>
          </cell>
          <cell r="G91">
            <v>1800</v>
          </cell>
          <cell r="H91">
            <v>1250</v>
          </cell>
          <cell r="I91">
            <v>550</v>
          </cell>
          <cell r="J91">
            <v>0</v>
          </cell>
          <cell r="K91">
            <v>0</v>
          </cell>
          <cell r="L91" t="str">
            <v>U-2</v>
          </cell>
        </row>
        <row r="92">
          <cell r="B92" t="str">
            <v>Amit Balram</v>
          </cell>
          <cell r="C92">
            <v>16521</v>
          </cell>
          <cell r="D92">
            <v>15000</v>
          </cell>
          <cell r="E92">
            <v>15000</v>
          </cell>
          <cell r="F92">
            <v>15000</v>
          </cell>
          <cell r="G92">
            <v>1800</v>
          </cell>
          <cell r="H92">
            <v>1250</v>
          </cell>
          <cell r="I92">
            <v>550</v>
          </cell>
          <cell r="J92">
            <v>0</v>
          </cell>
          <cell r="K92">
            <v>0</v>
          </cell>
          <cell r="L92" t="str">
            <v>U-2</v>
          </cell>
        </row>
        <row r="93">
          <cell r="B93" t="str">
            <v>Vimal kumar Bhauro Prasad</v>
          </cell>
          <cell r="C93">
            <v>19029</v>
          </cell>
          <cell r="D93">
            <v>15000</v>
          </cell>
          <cell r="E93">
            <v>15000</v>
          </cell>
          <cell r="F93">
            <v>15000</v>
          </cell>
          <cell r="G93">
            <v>1800</v>
          </cell>
          <cell r="H93">
            <v>1250</v>
          </cell>
          <cell r="I93">
            <v>550</v>
          </cell>
          <cell r="J93">
            <v>0</v>
          </cell>
          <cell r="K93">
            <v>0</v>
          </cell>
          <cell r="L93" t="str">
            <v>U-2</v>
          </cell>
        </row>
        <row r="94">
          <cell r="B94" t="str">
            <v>Ranjan lal Chandrapal</v>
          </cell>
          <cell r="C94">
            <v>28473</v>
          </cell>
          <cell r="D94">
            <v>15000</v>
          </cell>
          <cell r="E94">
            <v>15000</v>
          </cell>
          <cell r="F94">
            <v>15000</v>
          </cell>
          <cell r="G94">
            <v>1800</v>
          </cell>
          <cell r="H94">
            <v>1250</v>
          </cell>
          <cell r="I94">
            <v>550</v>
          </cell>
          <cell r="J94">
            <v>0</v>
          </cell>
          <cell r="K94">
            <v>0</v>
          </cell>
          <cell r="L94" t="str">
            <v>U-2</v>
          </cell>
        </row>
        <row r="95">
          <cell r="B95" t="str">
            <v>Shyam Baburam</v>
          </cell>
          <cell r="C95">
            <v>30149</v>
          </cell>
          <cell r="D95">
            <v>15000</v>
          </cell>
          <cell r="E95">
            <v>15000</v>
          </cell>
          <cell r="F95">
            <v>15000</v>
          </cell>
          <cell r="G95">
            <v>1800</v>
          </cell>
          <cell r="H95">
            <v>1250</v>
          </cell>
          <cell r="I95">
            <v>550</v>
          </cell>
          <cell r="J95">
            <v>0</v>
          </cell>
          <cell r="K95">
            <v>0</v>
          </cell>
          <cell r="L95" t="str">
            <v>U-2</v>
          </cell>
        </row>
        <row r="96">
          <cell r="B96" t="str">
            <v>Bansu Bahadur Shripal</v>
          </cell>
          <cell r="C96">
            <v>40741</v>
          </cell>
          <cell r="D96">
            <v>15000</v>
          </cell>
          <cell r="E96">
            <v>15000</v>
          </cell>
          <cell r="F96">
            <v>15000</v>
          </cell>
          <cell r="G96">
            <v>1800</v>
          </cell>
          <cell r="H96">
            <v>1250</v>
          </cell>
          <cell r="I96">
            <v>550</v>
          </cell>
          <cell r="J96">
            <v>0</v>
          </cell>
          <cell r="K96">
            <v>0</v>
          </cell>
          <cell r="L96" t="str">
            <v>U-2</v>
          </cell>
        </row>
        <row r="97">
          <cell r="B97" t="str">
            <v>Gautam Shukhraj</v>
          </cell>
          <cell r="C97">
            <v>24328</v>
          </cell>
          <cell r="D97">
            <v>15000</v>
          </cell>
          <cell r="E97">
            <v>15000</v>
          </cell>
          <cell r="F97">
            <v>15000</v>
          </cell>
          <cell r="G97">
            <v>1800</v>
          </cell>
          <cell r="H97">
            <v>1250</v>
          </cell>
          <cell r="I97">
            <v>550</v>
          </cell>
          <cell r="J97">
            <v>0</v>
          </cell>
          <cell r="K97">
            <v>0</v>
          </cell>
          <cell r="L97" t="str">
            <v>U-2</v>
          </cell>
        </row>
        <row r="98">
          <cell r="B98" t="str">
            <v>Ajeet Kumar Ramanad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 t="str">
            <v>U-2</v>
          </cell>
        </row>
        <row r="99">
          <cell r="B99" t="str">
            <v>Ram Adesh Ram Lakhan</v>
          </cell>
          <cell r="C99">
            <v>26762</v>
          </cell>
          <cell r="D99">
            <v>15000</v>
          </cell>
          <cell r="E99">
            <v>15000</v>
          </cell>
          <cell r="F99">
            <v>15000</v>
          </cell>
          <cell r="G99">
            <v>1800</v>
          </cell>
          <cell r="H99">
            <v>1250</v>
          </cell>
          <cell r="I99">
            <v>550</v>
          </cell>
          <cell r="J99">
            <v>0</v>
          </cell>
          <cell r="K99">
            <v>0</v>
          </cell>
          <cell r="L99" t="str">
            <v>U-2</v>
          </cell>
        </row>
        <row r="100">
          <cell r="B100" t="str">
            <v>Rakesh pal Babulal Pal</v>
          </cell>
          <cell r="C100">
            <v>14100</v>
          </cell>
          <cell r="D100">
            <v>14100</v>
          </cell>
          <cell r="E100">
            <v>14100</v>
          </cell>
          <cell r="F100">
            <v>14100</v>
          </cell>
          <cell r="G100">
            <v>1692</v>
          </cell>
          <cell r="H100">
            <v>1175</v>
          </cell>
          <cell r="I100">
            <v>517</v>
          </cell>
          <cell r="J100">
            <v>0</v>
          </cell>
          <cell r="K100">
            <v>0</v>
          </cell>
          <cell r="L100" t="str">
            <v>U-2</v>
          </cell>
        </row>
        <row r="101">
          <cell r="B101" t="str">
            <v>Sanjay Ram sajivan</v>
          </cell>
          <cell r="C101">
            <v>23717</v>
          </cell>
          <cell r="D101">
            <v>15000</v>
          </cell>
          <cell r="E101">
            <v>15000</v>
          </cell>
          <cell r="F101">
            <v>15000</v>
          </cell>
          <cell r="G101">
            <v>1800</v>
          </cell>
          <cell r="H101">
            <v>1250</v>
          </cell>
          <cell r="I101">
            <v>550</v>
          </cell>
          <cell r="J101">
            <v>0</v>
          </cell>
          <cell r="K101">
            <v>0</v>
          </cell>
          <cell r="L101" t="str">
            <v>U-2</v>
          </cell>
        </row>
        <row r="102">
          <cell r="B102" t="str">
            <v>MALI RAHULBHAI VINODBHAI</v>
          </cell>
          <cell r="C102">
            <v>8933</v>
          </cell>
          <cell r="D102">
            <v>8933</v>
          </cell>
          <cell r="E102">
            <v>8933</v>
          </cell>
          <cell r="F102">
            <v>8933</v>
          </cell>
          <cell r="G102">
            <v>1072</v>
          </cell>
          <cell r="H102">
            <v>744</v>
          </cell>
          <cell r="I102">
            <v>328</v>
          </cell>
          <cell r="J102">
            <v>0</v>
          </cell>
          <cell r="K102">
            <v>0</v>
          </cell>
          <cell r="L102" t="str">
            <v>U-2</v>
          </cell>
        </row>
        <row r="103">
          <cell r="B103" t="str">
            <v>PARMAR AJAYKUMAR ARVINDBHAI</v>
          </cell>
          <cell r="C103">
            <v>9685</v>
          </cell>
          <cell r="D103">
            <v>9685</v>
          </cell>
          <cell r="E103">
            <v>9685</v>
          </cell>
          <cell r="F103">
            <v>9685</v>
          </cell>
          <cell r="G103">
            <v>1162</v>
          </cell>
          <cell r="H103">
            <v>807</v>
          </cell>
          <cell r="I103">
            <v>355</v>
          </cell>
          <cell r="J103">
            <v>7</v>
          </cell>
          <cell r="K103">
            <v>0</v>
          </cell>
          <cell r="L103" t="str">
            <v>U-2</v>
          </cell>
        </row>
        <row r="104">
          <cell r="B104" t="str">
            <v>MAHESHBHAI MAFATBHAI RAVAL</v>
          </cell>
          <cell r="C104">
            <v>13951</v>
          </cell>
          <cell r="D104">
            <v>13951</v>
          </cell>
          <cell r="E104">
            <v>13951</v>
          </cell>
          <cell r="F104">
            <v>13951</v>
          </cell>
          <cell r="G104">
            <v>1674</v>
          </cell>
          <cell r="H104">
            <v>1162</v>
          </cell>
          <cell r="I104">
            <v>512</v>
          </cell>
          <cell r="J104">
            <v>5</v>
          </cell>
          <cell r="K104">
            <v>0</v>
          </cell>
          <cell r="L104" t="str">
            <v>U-2</v>
          </cell>
        </row>
        <row r="105">
          <cell r="B105" t="str">
            <v>PARMAR SANJAYSINH ARJUNSINH</v>
          </cell>
          <cell r="C105">
            <v>13400</v>
          </cell>
          <cell r="D105">
            <v>13400</v>
          </cell>
          <cell r="E105">
            <v>13400</v>
          </cell>
          <cell r="F105">
            <v>13400</v>
          </cell>
          <cell r="G105">
            <v>1608</v>
          </cell>
          <cell r="H105">
            <v>1116</v>
          </cell>
          <cell r="I105">
            <v>492</v>
          </cell>
          <cell r="J105">
            <v>3</v>
          </cell>
          <cell r="K105">
            <v>0</v>
          </cell>
          <cell r="L105" t="str">
            <v>U-2</v>
          </cell>
        </row>
        <row r="106">
          <cell r="B106" t="str">
            <v>ALTAF BASIR MALEK</v>
          </cell>
          <cell r="C106">
            <v>15419</v>
          </cell>
          <cell r="D106">
            <v>15000</v>
          </cell>
          <cell r="E106">
            <v>15000</v>
          </cell>
          <cell r="F106">
            <v>15000</v>
          </cell>
          <cell r="G106">
            <v>1800</v>
          </cell>
          <cell r="H106">
            <v>1250</v>
          </cell>
          <cell r="I106">
            <v>550</v>
          </cell>
          <cell r="J106">
            <v>3</v>
          </cell>
          <cell r="K106">
            <v>0</v>
          </cell>
          <cell r="L106" t="str">
            <v>U-2</v>
          </cell>
        </row>
        <row r="107">
          <cell r="B107" t="str">
            <v>Parmar Chatrasnih Raysingbhai</v>
          </cell>
          <cell r="C107">
            <v>11687</v>
          </cell>
          <cell r="D107">
            <v>11687</v>
          </cell>
          <cell r="E107">
            <v>11687</v>
          </cell>
          <cell r="F107">
            <v>11687</v>
          </cell>
          <cell r="G107">
            <v>1402</v>
          </cell>
          <cell r="H107">
            <v>974</v>
          </cell>
          <cell r="I107">
            <v>428</v>
          </cell>
          <cell r="J107">
            <v>3</v>
          </cell>
          <cell r="K107">
            <v>0</v>
          </cell>
          <cell r="L107" t="str">
            <v>U-2</v>
          </cell>
        </row>
        <row r="108">
          <cell r="B108" t="str">
            <v>Chetan Sureshbhai Gohel</v>
          </cell>
          <cell r="C108">
            <v>11259</v>
          </cell>
          <cell r="D108">
            <v>11259</v>
          </cell>
          <cell r="E108">
            <v>11259</v>
          </cell>
          <cell r="F108">
            <v>11259</v>
          </cell>
          <cell r="G108">
            <v>1351</v>
          </cell>
          <cell r="H108">
            <v>938</v>
          </cell>
          <cell r="I108">
            <v>413</v>
          </cell>
          <cell r="J108">
            <v>3</v>
          </cell>
          <cell r="K108">
            <v>0</v>
          </cell>
          <cell r="L108" t="str">
            <v>U-2</v>
          </cell>
        </row>
        <row r="109">
          <cell r="B109" t="str">
            <v>Vanraj L Sindha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 t="str">
            <v>U-2</v>
          </cell>
        </row>
        <row r="110">
          <cell r="B110" t="str">
            <v>Virendrabhai Maheshbhai Solanki</v>
          </cell>
          <cell r="C110">
            <v>14440</v>
          </cell>
          <cell r="D110">
            <v>14440</v>
          </cell>
          <cell r="E110">
            <v>14440</v>
          </cell>
          <cell r="F110">
            <v>14440</v>
          </cell>
          <cell r="G110">
            <v>1733</v>
          </cell>
          <cell r="H110">
            <v>1203</v>
          </cell>
          <cell r="I110">
            <v>530</v>
          </cell>
          <cell r="J110">
            <v>2</v>
          </cell>
          <cell r="K110">
            <v>0</v>
          </cell>
          <cell r="L110" t="str">
            <v>U-2</v>
          </cell>
        </row>
        <row r="111">
          <cell r="B111" t="str">
            <v>Jayesh Ranjitsinh Padhiyar</v>
          </cell>
          <cell r="C111">
            <v>10953</v>
          </cell>
          <cell r="D111">
            <v>10953</v>
          </cell>
          <cell r="E111">
            <v>10953</v>
          </cell>
          <cell r="F111">
            <v>10953</v>
          </cell>
          <cell r="G111">
            <v>1314</v>
          </cell>
          <cell r="H111">
            <v>912</v>
          </cell>
          <cell r="I111">
            <v>402</v>
          </cell>
          <cell r="J111">
            <v>9</v>
          </cell>
          <cell r="K111">
            <v>0</v>
          </cell>
          <cell r="L111" t="str">
            <v>U-2</v>
          </cell>
        </row>
        <row r="112">
          <cell r="B112" t="str">
            <v>Vinay Kumar Gaya ram</v>
          </cell>
          <cell r="C112">
            <v>22762</v>
          </cell>
          <cell r="D112">
            <v>15000</v>
          </cell>
          <cell r="E112">
            <v>15000</v>
          </cell>
          <cell r="F112">
            <v>15000</v>
          </cell>
          <cell r="G112">
            <v>1800</v>
          </cell>
          <cell r="H112">
            <v>1250</v>
          </cell>
          <cell r="I112">
            <v>550</v>
          </cell>
          <cell r="J112">
            <v>1</v>
          </cell>
          <cell r="K112">
            <v>0</v>
          </cell>
          <cell r="L112" t="str">
            <v>U-2</v>
          </cell>
        </row>
        <row r="113">
          <cell r="B113" t="str">
            <v>Sahilbhai Dilipbhai Waghela</v>
          </cell>
          <cell r="C113">
            <v>12605</v>
          </cell>
          <cell r="D113">
            <v>12605</v>
          </cell>
          <cell r="E113">
            <v>12605</v>
          </cell>
          <cell r="F113">
            <v>12605</v>
          </cell>
          <cell r="G113">
            <v>1513</v>
          </cell>
          <cell r="H113">
            <v>1050</v>
          </cell>
          <cell r="I113">
            <v>463</v>
          </cell>
          <cell r="J113">
            <v>2</v>
          </cell>
          <cell r="K113">
            <v>0</v>
          </cell>
          <cell r="L113" t="str">
            <v>U-2</v>
          </cell>
        </row>
        <row r="114">
          <cell r="B114" t="str">
            <v>Sudarshan Anil</v>
          </cell>
          <cell r="C114">
            <v>21477</v>
          </cell>
          <cell r="D114">
            <v>15000</v>
          </cell>
          <cell r="E114">
            <v>15000</v>
          </cell>
          <cell r="F114">
            <v>15000</v>
          </cell>
          <cell r="G114">
            <v>1800</v>
          </cell>
          <cell r="H114">
            <v>1250</v>
          </cell>
          <cell r="I114">
            <v>550</v>
          </cell>
          <cell r="J114">
            <v>0</v>
          </cell>
          <cell r="K114">
            <v>0</v>
          </cell>
          <cell r="L114" t="str">
            <v>U-2</v>
          </cell>
        </row>
        <row r="115">
          <cell r="B115" t="str">
            <v>Rinku Paswan Angan</v>
          </cell>
          <cell r="C115">
            <v>19847</v>
          </cell>
          <cell r="D115">
            <v>15000</v>
          </cell>
          <cell r="E115">
            <v>15000</v>
          </cell>
          <cell r="F115">
            <v>15000</v>
          </cell>
          <cell r="G115">
            <v>1800</v>
          </cell>
          <cell r="H115">
            <v>1250</v>
          </cell>
          <cell r="I115">
            <v>550</v>
          </cell>
          <cell r="J115">
            <v>0</v>
          </cell>
          <cell r="K115">
            <v>0</v>
          </cell>
          <cell r="L115" t="str">
            <v>U-2</v>
          </cell>
        </row>
        <row r="116">
          <cell r="B116" t="str">
            <v>Jadav Kamleshbhai Hamirsinh</v>
          </cell>
          <cell r="C116">
            <v>16130</v>
          </cell>
          <cell r="D116">
            <v>15000</v>
          </cell>
          <cell r="E116">
            <v>15000</v>
          </cell>
          <cell r="F116">
            <v>15000</v>
          </cell>
          <cell r="G116">
            <v>1800</v>
          </cell>
          <cell r="H116">
            <v>1250</v>
          </cell>
          <cell r="I116">
            <v>550</v>
          </cell>
          <cell r="J116">
            <v>2</v>
          </cell>
          <cell r="K116">
            <v>0</v>
          </cell>
          <cell r="L116" t="str">
            <v>U-2</v>
          </cell>
        </row>
        <row r="117">
          <cell r="B117" t="str">
            <v>Nikhil Kumar</v>
          </cell>
          <cell r="C117">
            <v>23912</v>
          </cell>
          <cell r="D117">
            <v>15000</v>
          </cell>
          <cell r="E117">
            <v>15000</v>
          </cell>
          <cell r="F117">
            <v>15000</v>
          </cell>
          <cell r="G117">
            <v>1800</v>
          </cell>
          <cell r="H117">
            <v>1250</v>
          </cell>
          <cell r="I117">
            <v>550</v>
          </cell>
          <cell r="J117">
            <v>0</v>
          </cell>
          <cell r="K117">
            <v>0</v>
          </cell>
          <cell r="L117" t="str">
            <v>U-2</v>
          </cell>
        </row>
        <row r="118">
          <cell r="B118" t="str">
            <v>Bablu Sadashiv Saroj</v>
          </cell>
          <cell r="C118">
            <v>10350</v>
          </cell>
          <cell r="D118">
            <v>10350</v>
          </cell>
          <cell r="E118">
            <v>10350</v>
          </cell>
          <cell r="F118">
            <v>10350</v>
          </cell>
          <cell r="G118">
            <v>1242</v>
          </cell>
          <cell r="H118">
            <v>862</v>
          </cell>
          <cell r="I118">
            <v>380</v>
          </cell>
          <cell r="J118">
            <v>0</v>
          </cell>
          <cell r="K118">
            <v>0</v>
          </cell>
          <cell r="L118" t="str">
            <v>U-2</v>
          </cell>
        </row>
        <row r="119">
          <cell r="B119" t="str">
            <v>Deepak Ramnaresh</v>
          </cell>
          <cell r="C119">
            <v>18662</v>
          </cell>
          <cell r="D119">
            <v>15000</v>
          </cell>
          <cell r="E119">
            <v>15000</v>
          </cell>
          <cell r="F119">
            <v>15000</v>
          </cell>
          <cell r="G119">
            <v>1800</v>
          </cell>
          <cell r="H119">
            <v>1250</v>
          </cell>
          <cell r="I119">
            <v>550</v>
          </cell>
          <cell r="J119">
            <v>0</v>
          </cell>
          <cell r="K119">
            <v>0</v>
          </cell>
          <cell r="L119" t="str">
            <v>U-2</v>
          </cell>
        </row>
        <row r="120">
          <cell r="B120" t="str">
            <v>Prakashbhai Jasvantbhai Padhiyar</v>
          </cell>
          <cell r="C120">
            <v>12421</v>
          </cell>
          <cell r="D120">
            <v>12421</v>
          </cell>
          <cell r="E120">
            <v>12421</v>
          </cell>
          <cell r="F120">
            <v>12421</v>
          </cell>
          <cell r="G120">
            <v>1491</v>
          </cell>
          <cell r="H120">
            <v>1035</v>
          </cell>
          <cell r="I120">
            <v>456</v>
          </cell>
          <cell r="J120">
            <v>4</v>
          </cell>
          <cell r="K120">
            <v>0</v>
          </cell>
          <cell r="L120" t="str">
            <v>U-2</v>
          </cell>
        </row>
        <row r="121">
          <cell r="B121" t="str">
            <v>Padhiyar Saileshbhai Sureshbhai</v>
          </cell>
          <cell r="C121">
            <v>12849</v>
          </cell>
          <cell r="D121">
            <v>12849</v>
          </cell>
          <cell r="E121">
            <v>12849</v>
          </cell>
          <cell r="F121">
            <v>12849</v>
          </cell>
          <cell r="G121">
            <v>1542</v>
          </cell>
          <cell r="H121">
            <v>1070</v>
          </cell>
          <cell r="I121">
            <v>472</v>
          </cell>
          <cell r="J121">
            <v>4</v>
          </cell>
          <cell r="K121">
            <v>0</v>
          </cell>
          <cell r="L121" t="str">
            <v>U-2</v>
          </cell>
        </row>
        <row r="122">
          <cell r="B122" t="str">
            <v>Shaikh Arbajbhai Mahamadbhai</v>
          </cell>
          <cell r="C122">
            <v>15725</v>
          </cell>
          <cell r="D122">
            <v>15000</v>
          </cell>
          <cell r="E122">
            <v>15000</v>
          </cell>
          <cell r="F122">
            <v>15000</v>
          </cell>
          <cell r="G122">
            <v>1800</v>
          </cell>
          <cell r="H122">
            <v>1250</v>
          </cell>
          <cell r="I122">
            <v>550</v>
          </cell>
          <cell r="J122">
            <v>1</v>
          </cell>
          <cell r="K122">
            <v>0</v>
          </cell>
          <cell r="L122" t="str">
            <v>U-2</v>
          </cell>
        </row>
        <row r="123">
          <cell r="B123" t="str">
            <v>Sindha Karansinh Rameshbhai</v>
          </cell>
          <cell r="C123">
            <v>9301</v>
          </cell>
          <cell r="D123">
            <v>9301</v>
          </cell>
          <cell r="E123">
            <v>9301</v>
          </cell>
          <cell r="F123">
            <v>9301</v>
          </cell>
          <cell r="G123">
            <v>1116</v>
          </cell>
          <cell r="H123">
            <v>775</v>
          </cell>
          <cell r="I123">
            <v>341</v>
          </cell>
          <cell r="J123">
            <v>7</v>
          </cell>
          <cell r="K123">
            <v>0</v>
          </cell>
          <cell r="L123" t="str">
            <v>U-2</v>
          </cell>
        </row>
        <row r="124">
          <cell r="B124" t="str">
            <v>Sindha Mukeshbhai Babubhai</v>
          </cell>
          <cell r="C124">
            <v>9790</v>
          </cell>
          <cell r="D124">
            <v>9790</v>
          </cell>
          <cell r="E124">
            <v>9790</v>
          </cell>
          <cell r="F124">
            <v>9790</v>
          </cell>
          <cell r="G124">
            <v>1175</v>
          </cell>
          <cell r="H124">
            <v>816</v>
          </cell>
          <cell r="I124">
            <v>359</v>
          </cell>
          <cell r="J124">
            <v>6</v>
          </cell>
          <cell r="K124">
            <v>0</v>
          </cell>
          <cell r="L124" t="str">
            <v>U-2</v>
          </cell>
        </row>
        <row r="125">
          <cell r="B125" t="str">
            <v>Maneesh kumar Pancham prasad</v>
          </cell>
          <cell r="C125">
            <v>5140</v>
          </cell>
          <cell r="D125">
            <v>5140</v>
          </cell>
          <cell r="E125">
            <v>5140</v>
          </cell>
          <cell r="F125">
            <v>5140</v>
          </cell>
          <cell r="G125">
            <v>617</v>
          </cell>
          <cell r="H125">
            <v>428</v>
          </cell>
          <cell r="I125">
            <v>189</v>
          </cell>
          <cell r="J125">
            <v>0</v>
          </cell>
          <cell r="K125">
            <v>0</v>
          </cell>
          <cell r="L125" t="str">
            <v>U-2</v>
          </cell>
        </row>
        <row r="126">
          <cell r="B126" t="str">
            <v>Guddu kumar Rampukar Ram</v>
          </cell>
          <cell r="C126">
            <v>14947</v>
          </cell>
          <cell r="D126">
            <v>14947</v>
          </cell>
          <cell r="E126">
            <v>14947</v>
          </cell>
          <cell r="F126">
            <v>14947</v>
          </cell>
          <cell r="G126">
            <v>1794</v>
          </cell>
          <cell r="H126">
            <v>1245</v>
          </cell>
          <cell r="I126">
            <v>549</v>
          </cell>
          <cell r="J126">
            <v>1</v>
          </cell>
          <cell r="K126">
            <v>0</v>
          </cell>
          <cell r="L126" t="str">
            <v>U-2</v>
          </cell>
        </row>
        <row r="127">
          <cell r="B127" t="str">
            <v>Navneetsinh Janaksinh Parmar</v>
          </cell>
          <cell r="C127">
            <v>13300</v>
          </cell>
          <cell r="D127">
            <v>13300</v>
          </cell>
          <cell r="E127">
            <v>13300</v>
          </cell>
          <cell r="F127">
            <v>13300</v>
          </cell>
          <cell r="G127">
            <v>1596</v>
          </cell>
          <cell r="H127">
            <v>1108</v>
          </cell>
          <cell r="I127">
            <v>488</v>
          </cell>
          <cell r="J127">
            <v>3</v>
          </cell>
          <cell r="K127">
            <v>0</v>
          </cell>
          <cell r="L127" t="str">
            <v>U-2</v>
          </cell>
        </row>
        <row r="128">
          <cell r="B128" t="str">
            <v>Padiyar Heenaben Sanjaybhai</v>
          </cell>
          <cell r="C128">
            <v>11748</v>
          </cell>
          <cell r="D128">
            <v>11748</v>
          </cell>
          <cell r="E128">
            <v>11748</v>
          </cell>
          <cell r="F128">
            <v>11748</v>
          </cell>
          <cell r="G128">
            <v>1410</v>
          </cell>
          <cell r="H128">
            <v>979</v>
          </cell>
          <cell r="I128">
            <v>431</v>
          </cell>
          <cell r="J128">
            <v>2</v>
          </cell>
          <cell r="K128">
            <v>0</v>
          </cell>
          <cell r="L128" t="str">
            <v>U-2</v>
          </cell>
        </row>
        <row r="129">
          <cell r="B129" t="str">
            <v>Patel Poojaben Brijeshbhai</v>
          </cell>
          <cell r="C129">
            <v>12238</v>
          </cell>
          <cell r="D129">
            <v>12238</v>
          </cell>
          <cell r="E129">
            <v>12238</v>
          </cell>
          <cell r="F129">
            <v>12238</v>
          </cell>
          <cell r="G129">
            <v>1469</v>
          </cell>
          <cell r="H129">
            <v>1019</v>
          </cell>
          <cell r="I129">
            <v>450</v>
          </cell>
          <cell r="J129">
            <v>1</v>
          </cell>
          <cell r="K129">
            <v>0</v>
          </cell>
          <cell r="L129" t="str">
            <v>U-2</v>
          </cell>
        </row>
        <row r="130">
          <cell r="B130" t="str">
            <v xml:space="preserve">Parmar Rekhaben Dilipbhai </v>
          </cell>
          <cell r="C130">
            <v>10524</v>
          </cell>
          <cell r="D130">
            <v>10524</v>
          </cell>
          <cell r="E130">
            <v>10524</v>
          </cell>
          <cell r="F130">
            <v>10524</v>
          </cell>
          <cell r="G130">
            <v>1263</v>
          </cell>
          <cell r="H130">
            <v>877</v>
          </cell>
          <cell r="I130">
            <v>386</v>
          </cell>
          <cell r="J130">
            <v>5</v>
          </cell>
          <cell r="K130">
            <v>0</v>
          </cell>
          <cell r="L130" t="str">
            <v>U-2</v>
          </cell>
        </row>
        <row r="131">
          <cell r="B131" t="str">
            <v>Makwana Puspaben Mahendrabhai</v>
          </cell>
          <cell r="C131">
            <v>10035</v>
          </cell>
          <cell r="D131">
            <v>10035</v>
          </cell>
          <cell r="E131">
            <v>10035</v>
          </cell>
          <cell r="F131">
            <v>10035</v>
          </cell>
          <cell r="G131">
            <v>1204</v>
          </cell>
          <cell r="H131">
            <v>836</v>
          </cell>
          <cell r="I131">
            <v>368</v>
          </cell>
          <cell r="J131">
            <v>6</v>
          </cell>
          <cell r="K131">
            <v>0</v>
          </cell>
          <cell r="L131" t="str">
            <v>U-2</v>
          </cell>
        </row>
        <row r="132">
          <cell r="B132" t="str">
            <v>Patanvadiya Sonal Vijaybhai</v>
          </cell>
          <cell r="C132">
            <v>12727</v>
          </cell>
          <cell r="D132">
            <v>12727</v>
          </cell>
          <cell r="E132">
            <v>12727</v>
          </cell>
          <cell r="F132">
            <v>12727</v>
          </cell>
          <cell r="G132">
            <v>1527</v>
          </cell>
          <cell r="H132">
            <v>1060</v>
          </cell>
          <cell r="I132">
            <v>467</v>
          </cell>
          <cell r="J132">
            <v>0</v>
          </cell>
          <cell r="K132">
            <v>0</v>
          </cell>
          <cell r="L132" t="str">
            <v>U-2</v>
          </cell>
        </row>
        <row r="133">
          <cell r="B133" t="str">
            <v>Parmar bhavinaben Pareshkumar</v>
          </cell>
          <cell r="C133">
            <v>11503</v>
          </cell>
          <cell r="D133">
            <v>11503</v>
          </cell>
          <cell r="E133">
            <v>11503</v>
          </cell>
          <cell r="F133">
            <v>11503</v>
          </cell>
          <cell r="G133">
            <v>1380</v>
          </cell>
          <cell r="H133">
            <v>958</v>
          </cell>
          <cell r="I133">
            <v>422</v>
          </cell>
          <cell r="J133">
            <v>3</v>
          </cell>
          <cell r="K133">
            <v>0</v>
          </cell>
          <cell r="L133" t="str">
            <v>U-2</v>
          </cell>
        </row>
        <row r="134">
          <cell r="B134" t="str">
            <v>Chetnaben Maheshbhai vasava</v>
          </cell>
          <cell r="C134">
            <v>11748</v>
          </cell>
          <cell r="D134">
            <v>11748</v>
          </cell>
          <cell r="E134">
            <v>11748</v>
          </cell>
          <cell r="F134">
            <v>11748</v>
          </cell>
          <cell r="G134">
            <v>1410</v>
          </cell>
          <cell r="H134">
            <v>979</v>
          </cell>
          <cell r="I134">
            <v>431</v>
          </cell>
          <cell r="J134">
            <v>2</v>
          </cell>
          <cell r="K134">
            <v>0</v>
          </cell>
          <cell r="L134" t="str">
            <v>U-2</v>
          </cell>
        </row>
        <row r="135">
          <cell r="B135" t="str">
            <v>Divya nareshbhai Mali</v>
          </cell>
          <cell r="C135">
            <v>12238</v>
          </cell>
          <cell r="D135">
            <v>12238</v>
          </cell>
          <cell r="E135">
            <v>12238</v>
          </cell>
          <cell r="F135">
            <v>12238</v>
          </cell>
          <cell r="G135">
            <v>1469</v>
          </cell>
          <cell r="H135">
            <v>1019</v>
          </cell>
          <cell r="I135">
            <v>450</v>
          </cell>
          <cell r="J135">
            <v>1</v>
          </cell>
          <cell r="K135">
            <v>0</v>
          </cell>
          <cell r="L135" t="str">
            <v>U-2</v>
          </cell>
        </row>
        <row r="136">
          <cell r="B136" t="str">
            <v>Nishaben Ramanbhai Solanki</v>
          </cell>
          <cell r="C136">
            <v>13217</v>
          </cell>
          <cell r="D136">
            <v>13217</v>
          </cell>
          <cell r="E136">
            <v>13217</v>
          </cell>
          <cell r="F136">
            <v>13217</v>
          </cell>
          <cell r="G136">
            <v>1586</v>
          </cell>
          <cell r="H136">
            <v>1101</v>
          </cell>
          <cell r="I136">
            <v>485</v>
          </cell>
          <cell r="J136">
            <v>0</v>
          </cell>
          <cell r="K136">
            <v>0</v>
          </cell>
          <cell r="L136" t="str">
            <v>U-2</v>
          </cell>
        </row>
        <row r="137">
          <cell r="B137" t="str">
            <v>Bhumika Naginbhai Parmar</v>
          </cell>
          <cell r="C137">
            <v>11136</v>
          </cell>
          <cell r="D137">
            <v>11136</v>
          </cell>
          <cell r="E137">
            <v>11136</v>
          </cell>
          <cell r="F137">
            <v>11136</v>
          </cell>
          <cell r="G137">
            <v>1336</v>
          </cell>
          <cell r="H137">
            <v>928</v>
          </cell>
          <cell r="I137">
            <v>408</v>
          </cell>
          <cell r="J137">
            <v>4</v>
          </cell>
          <cell r="K137">
            <v>0</v>
          </cell>
          <cell r="L137" t="str">
            <v>U-2</v>
          </cell>
        </row>
        <row r="138">
          <cell r="B138" t="str">
            <v>Kinjalben Arvinbhai Chauhan</v>
          </cell>
          <cell r="C138">
            <v>11748</v>
          </cell>
          <cell r="D138">
            <v>11748</v>
          </cell>
          <cell r="E138">
            <v>11748</v>
          </cell>
          <cell r="F138">
            <v>11748</v>
          </cell>
          <cell r="G138">
            <v>1410</v>
          </cell>
          <cell r="H138">
            <v>979</v>
          </cell>
          <cell r="I138">
            <v>431</v>
          </cell>
          <cell r="J138">
            <v>2</v>
          </cell>
          <cell r="K138">
            <v>0</v>
          </cell>
          <cell r="L138" t="str">
            <v>U-2</v>
          </cell>
        </row>
        <row r="139">
          <cell r="B139" t="str">
            <v>Gohil Daxben Tusharsinh</v>
          </cell>
          <cell r="C139">
            <v>11748</v>
          </cell>
          <cell r="D139">
            <v>11748</v>
          </cell>
          <cell r="E139">
            <v>11748</v>
          </cell>
          <cell r="F139">
            <v>11748</v>
          </cell>
          <cell r="G139">
            <v>1410</v>
          </cell>
          <cell r="H139">
            <v>979</v>
          </cell>
          <cell r="I139">
            <v>431</v>
          </cell>
          <cell r="J139">
            <v>2</v>
          </cell>
          <cell r="K139">
            <v>0</v>
          </cell>
          <cell r="L139" t="str">
            <v>U-2</v>
          </cell>
        </row>
        <row r="140">
          <cell r="B140" t="str">
            <v>Daxaben Arjunbhai Parmar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 t="str">
            <v>U-2</v>
          </cell>
        </row>
        <row r="141">
          <cell r="B141" t="str">
            <v>Daxben Viralbhai Raval</v>
          </cell>
          <cell r="C141">
            <v>11748</v>
          </cell>
          <cell r="D141">
            <v>11748</v>
          </cell>
          <cell r="E141">
            <v>11748</v>
          </cell>
          <cell r="F141">
            <v>11748</v>
          </cell>
          <cell r="G141">
            <v>1410</v>
          </cell>
          <cell r="H141">
            <v>979</v>
          </cell>
          <cell r="I141">
            <v>431</v>
          </cell>
          <cell r="J141">
            <v>2</v>
          </cell>
          <cell r="K141">
            <v>0</v>
          </cell>
          <cell r="L141" t="str">
            <v>U-2</v>
          </cell>
        </row>
        <row r="142">
          <cell r="B142" t="str">
            <v>Minakshiben Sureshbhai Jogadekar</v>
          </cell>
          <cell r="C142">
            <v>10524</v>
          </cell>
          <cell r="D142">
            <v>10524</v>
          </cell>
          <cell r="E142">
            <v>10524</v>
          </cell>
          <cell r="F142">
            <v>10524</v>
          </cell>
          <cell r="G142">
            <v>1263</v>
          </cell>
          <cell r="H142">
            <v>877</v>
          </cell>
          <cell r="I142">
            <v>386</v>
          </cell>
          <cell r="J142">
            <v>5</v>
          </cell>
          <cell r="K142">
            <v>0</v>
          </cell>
          <cell r="L142" t="str">
            <v>U-2</v>
          </cell>
        </row>
        <row r="143">
          <cell r="B143" t="str">
            <v>Rachana Harshkumar Rohit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 t="str">
            <v>U-2</v>
          </cell>
        </row>
        <row r="144">
          <cell r="B144" t="str">
            <v>Jogi Heenaben Durganath</v>
          </cell>
          <cell r="C144">
            <v>13217</v>
          </cell>
          <cell r="D144">
            <v>13217</v>
          </cell>
          <cell r="E144">
            <v>13217</v>
          </cell>
          <cell r="F144">
            <v>13217</v>
          </cell>
          <cell r="G144">
            <v>1586</v>
          </cell>
          <cell r="H144">
            <v>1101</v>
          </cell>
          <cell r="I144">
            <v>485</v>
          </cell>
          <cell r="J144">
            <v>0</v>
          </cell>
          <cell r="K144">
            <v>0</v>
          </cell>
          <cell r="L144" t="str">
            <v>U-2</v>
          </cell>
        </row>
        <row r="145">
          <cell r="B145" t="str">
            <v>Yogeshbhai Bhailalbhai Vanakar</v>
          </cell>
          <cell r="C145">
            <v>1469</v>
          </cell>
          <cell r="D145">
            <v>1469</v>
          </cell>
          <cell r="E145">
            <v>1469</v>
          </cell>
          <cell r="F145">
            <v>1469</v>
          </cell>
          <cell r="G145">
            <v>176</v>
          </cell>
          <cell r="H145">
            <v>122</v>
          </cell>
          <cell r="I145">
            <v>54</v>
          </cell>
          <cell r="J145">
            <v>0</v>
          </cell>
          <cell r="K145">
            <v>0</v>
          </cell>
          <cell r="L145" t="str">
            <v>U-2</v>
          </cell>
        </row>
        <row r="146">
          <cell r="B146" t="str">
            <v>Balram Ram aadhar</v>
          </cell>
          <cell r="C146">
            <v>21049</v>
          </cell>
          <cell r="D146">
            <v>15000</v>
          </cell>
          <cell r="E146">
            <v>15000</v>
          </cell>
          <cell r="F146">
            <v>15000</v>
          </cell>
          <cell r="G146">
            <v>1800</v>
          </cell>
          <cell r="H146">
            <v>1250</v>
          </cell>
          <cell r="I146">
            <v>550</v>
          </cell>
          <cell r="J146">
            <v>0</v>
          </cell>
          <cell r="K146">
            <v>0</v>
          </cell>
          <cell r="L146" t="str">
            <v>U-2</v>
          </cell>
        </row>
        <row r="147">
          <cell r="B147" t="str">
            <v>Harshdakumar Thakorbhai Parmar</v>
          </cell>
          <cell r="C147">
            <v>9790</v>
          </cell>
          <cell r="D147">
            <v>9790</v>
          </cell>
          <cell r="E147">
            <v>9790</v>
          </cell>
          <cell r="F147">
            <v>9790</v>
          </cell>
          <cell r="G147">
            <v>1175</v>
          </cell>
          <cell r="H147">
            <v>816</v>
          </cell>
          <cell r="I147">
            <v>359</v>
          </cell>
          <cell r="J147">
            <v>6</v>
          </cell>
          <cell r="K147">
            <v>0</v>
          </cell>
          <cell r="L147" t="str">
            <v>U-2</v>
          </cell>
        </row>
        <row r="148">
          <cell r="B148" t="str">
            <v>Neel Brijeshbhai Rajput</v>
          </cell>
          <cell r="C148">
            <v>15664</v>
          </cell>
          <cell r="D148">
            <v>15000</v>
          </cell>
          <cell r="E148">
            <v>15000</v>
          </cell>
          <cell r="F148">
            <v>15000</v>
          </cell>
          <cell r="G148">
            <v>1800</v>
          </cell>
          <cell r="H148">
            <v>1250</v>
          </cell>
          <cell r="I148">
            <v>550</v>
          </cell>
          <cell r="J148">
            <v>2</v>
          </cell>
          <cell r="K148">
            <v>0</v>
          </cell>
          <cell r="L148" t="str">
            <v>U-2</v>
          </cell>
        </row>
        <row r="149">
          <cell r="B149" t="str">
            <v>Sandeep Kumar Balram Kashyap</v>
          </cell>
          <cell r="C149">
            <v>20192</v>
          </cell>
          <cell r="D149">
            <v>15000</v>
          </cell>
          <cell r="E149">
            <v>15000</v>
          </cell>
          <cell r="F149">
            <v>15000</v>
          </cell>
          <cell r="G149">
            <v>1800</v>
          </cell>
          <cell r="H149">
            <v>1250</v>
          </cell>
          <cell r="I149">
            <v>550</v>
          </cell>
          <cell r="J149">
            <v>1</v>
          </cell>
          <cell r="K149">
            <v>0</v>
          </cell>
          <cell r="L149" t="str">
            <v>U-2</v>
          </cell>
        </row>
        <row r="150">
          <cell r="B150" t="str">
            <v>Parmar Ketanbhai Jivabhai</v>
          </cell>
          <cell r="C150">
            <v>9790</v>
          </cell>
          <cell r="D150">
            <v>9790</v>
          </cell>
          <cell r="E150">
            <v>9790</v>
          </cell>
          <cell r="F150">
            <v>9790</v>
          </cell>
          <cell r="G150">
            <v>1175</v>
          </cell>
          <cell r="H150">
            <v>816</v>
          </cell>
          <cell r="I150">
            <v>359</v>
          </cell>
          <cell r="J150">
            <v>6</v>
          </cell>
          <cell r="K150">
            <v>0</v>
          </cell>
          <cell r="L150" t="str">
            <v>U-2</v>
          </cell>
        </row>
        <row r="151">
          <cell r="B151" t="str">
            <v>Dharmendrasinh Balvantsinh Sindha</v>
          </cell>
          <cell r="C151">
            <v>7098</v>
          </cell>
          <cell r="D151">
            <v>7098</v>
          </cell>
          <cell r="E151">
            <v>7098</v>
          </cell>
          <cell r="F151">
            <v>7098</v>
          </cell>
          <cell r="G151">
            <v>852</v>
          </cell>
          <cell r="H151">
            <v>591</v>
          </cell>
          <cell r="I151">
            <v>261</v>
          </cell>
          <cell r="J151">
            <v>0</v>
          </cell>
          <cell r="K151">
            <v>0</v>
          </cell>
          <cell r="L151" t="str">
            <v>U-2</v>
          </cell>
        </row>
        <row r="152">
          <cell r="B152" t="str">
            <v>Chudasama Vipulkumar Mahipatsinh</v>
          </cell>
          <cell r="C152">
            <v>10280</v>
          </cell>
          <cell r="D152">
            <v>10280</v>
          </cell>
          <cell r="E152">
            <v>10280</v>
          </cell>
          <cell r="F152">
            <v>10280</v>
          </cell>
          <cell r="G152">
            <v>1234</v>
          </cell>
          <cell r="H152">
            <v>856</v>
          </cell>
          <cell r="I152">
            <v>378</v>
          </cell>
          <cell r="J152">
            <v>5</v>
          </cell>
          <cell r="K152">
            <v>0</v>
          </cell>
          <cell r="L152" t="str">
            <v>U-2</v>
          </cell>
        </row>
        <row r="153">
          <cell r="B153" t="str">
            <v>Sachin Ramsumer Patel</v>
          </cell>
          <cell r="C153">
            <v>31855</v>
          </cell>
          <cell r="D153">
            <v>15000</v>
          </cell>
          <cell r="E153">
            <v>15000</v>
          </cell>
          <cell r="F153">
            <v>15000</v>
          </cell>
          <cell r="G153">
            <v>1800</v>
          </cell>
          <cell r="H153">
            <v>1250</v>
          </cell>
          <cell r="I153">
            <v>550</v>
          </cell>
          <cell r="J153">
            <v>0</v>
          </cell>
          <cell r="K153">
            <v>0</v>
          </cell>
          <cell r="L153" t="str">
            <v>U-2</v>
          </cell>
        </row>
        <row r="154">
          <cell r="B154" t="str">
            <v>RAMU BABU LAL</v>
          </cell>
          <cell r="C154">
            <v>23565</v>
          </cell>
          <cell r="D154">
            <v>15000</v>
          </cell>
          <cell r="E154">
            <v>15000</v>
          </cell>
          <cell r="F154">
            <v>15000</v>
          </cell>
          <cell r="G154">
            <v>1800</v>
          </cell>
          <cell r="H154">
            <v>1250</v>
          </cell>
          <cell r="I154">
            <v>550</v>
          </cell>
          <cell r="J154">
            <v>0</v>
          </cell>
          <cell r="K154">
            <v>0</v>
          </cell>
          <cell r="L154" t="str">
            <v>U-2</v>
          </cell>
        </row>
        <row r="155">
          <cell r="B155" t="str">
            <v>Arpit Gaur Shyam Sundar</v>
          </cell>
          <cell r="C155">
            <v>31535</v>
          </cell>
          <cell r="D155">
            <v>15000</v>
          </cell>
          <cell r="E155">
            <v>15000</v>
          </cell>
          <cell r="F155">
            <v>15000</v>
          </cell>
          <cell r="G155">
            <v>1800</v>
          </cell>
          <cell r="H155">
            <v>1250</v>
          </cell>
          <cell r="I155">
            <v>550</v>
          </cell>
          <cell r="J155">
            <v>0</v>
          </cell>
          <cell r="K155">
            <v>0</v>
          </cell>
          <cell r="L155" t="str">
            <v>U-2</v>
          </cell>
        </row>
        <row r="156">
          <cell r="B156" t="str">
            <v>Hari Pal Ramkumar</v>
          </cell>
          <cell r="C156">
            <v>25804</v>
          </cell>
          <cell r="D156">
            <v>15000</v>
          </cell>
          <cell r="E156">
            <v>15000</v>
          </cell>
          <cell r="F156">
            <v>15000</v>
          </cell>
          <cell r="G156">
            <v>1800</v>
          </cell>
          <cell r="H156">
            <v>1250</v>
          </cell>
          <cell r="I156">
            <v>550</v>
          </cell>
          <cell r="J156">
            <v>0</v>
          </cell>
          <cell r="K156">
            <v>0</v>
          </cell>
          <cell r="L156" t="str">
            <v>U-2</v>
          </cell>
        </row>
        <row r="157">
          <cell r="B157" t="str">
            <v>Karan Ramkali</v>
          </cell>
          <cell r="C157">
            <v>20070</v>
          </cell>
          <cell r="D157">
            <v>15000</v>
          </cell>
          <cell r="E157">
            <v>15000</v>
          </cell>
          <cell r="F157">
            <v>15000</v>
          </cell>
          <cell r="G157">
            <v>1800</v>
          </cell>
          <cell r="H157">
            <v>1250</v>
          </cell>
          <cell r="I157">
            <v>550</v>
          </cell>
          <cell r="J157">
            <v>0</v>
          </cell>
          <cell r="K157">
            <v>0</v>
          </cell>
          <cell r="L157" t="str">
            <v>U-2</v>
          </cell>
        </row>
        <row r="158">
          <cell r="B158" t="str">
            <v>Pintu Dharmesh Saroj</v>
          </cell>
          <cell r="C158">
            <v>16045</v>
          </cell>
          <cell r="D158">
            <v>15000</v>
          </cell>
          <cell r="E158">
            <v>15000</v>
          </cell>
          <cell r="F158">
            <v>15000</v>
          </cell>
          <cell r="G158">
            <v>1800</v>
          </cell>
          <cell r="H158">
            <v>1250</v>
          </cell>
          <cell r="I158">
            <v>550</v>
          </cell>
          <cell r="J158">
            <v>0</v>
          </cell>
          <cell r="K158">
            <v>0</v>
          </cell>
          <cell r="L158" t="str">
            <v>U-2</v>
          </cell>
        </row>
        <row r="159">
          <cell r="B159" t="str">
            <v>Deepak kumar Ram sumer</v>
          </cell>
          <cell r="C159">
            <v>17500</v>
          </cell>
          <cell r="D159">
            <v>15000</v>
          </cell>
          <cell r="E159">
            <v>15000</v>
          </cell>
          <cell r="F159">
            <v>15000</v>
          </cell>
          <cell r="G159">
            <v>1800</v>
          </cell>
          <cell r="H159">
            <v>1250</v>
          </cell>
          <cell r="I159">
            <v>550</v>
          </cell>
          <cell r="J159">
            <v>0</v>
          </cell>
          <cell r="K159">
            <v>0</v>
          </cell>
          <cell r="L159" t="str">
            <v>U-2</v>
          </cell>
        </row>
        <row r="160">
          <cell r="B160" t="str">
            <v>Vasudev Ramdayal Saroj</v>
          </cell>
          <cell r="C160">
            <v>27953</v>
          </cell>
          <cell r="D160">
            <v>15000</v>
          </cell>
          <cell r="E160">
            <v>15000</v>
          </cell>
          <cell r="F160">
            <v>15000</v>
          </cell>
          <cell r="G160">
            <v>1800</v>
          </cell>
          <cell r="H160">
            <v>1250</v>
          </cell>
          <cell r="I160">
            <v>550</v>
          </cell>
          <cell r="J160">
            <v>0</v>
          </cell>
          <cell r="K160">
            <v>0</v>
          </cell>
          <cell r="L160" t="str">
            <v>U-2</v>
          </cell>
        </row>
        <row r="161">
          <cell r="B161" t="str">
            <v>Rohit Kumar Pancham</v>
          </cell>
          <cell r="C161">
            <v>41232</v>
          </cell>
          <cell r="D161">
            <v>15000</v>
          </cell>
          <cell r="E161">
            <v>15000</v>
          </cell>
          <cell r="F161">
            <v>15000</v>
          </cell>
          <cell r="G161">
            <v>1800</v>
          </cell>
          <cell r="H161">
            <v>1250</v>
          </cell>
          <cell r="I161">
            <v>550</v>
          </cell>
          <cell r="J161">
            <v>0</v>
          </cell>
          <cell r="K161">
            <v>0</v>
          </cell>
          <cell r="L161" t="str">
            <v>U-2</v>
          </cell>
        </row>
        <row r="162">
          <cell r="B162" t="str">
            <v>Mohan Lal Angan Lal</v>
          </cell>
          <cell r="C162">
            <v>34588</v>
          </cell>
          <cell r="D162">
            <v>15000</v>
          </cell>
          <cell r="E162">
            <v>15000</v>
          </cell>
          <cell r="F162">
            <v>15000</v>
          </cell>
          <cell r="G162">
            <v>1800</v>
          </cell>
          <cell r="H162">
            <v>1250</v>
          </cell>
          <cell r="I162">
            <v>550</v>
          </cell>
          <cell r="J162">
            <v>0</v>
          </cell>
          <cell r="K162">
            <v>0</v>
          </cell>
          <cell r="L162" t="str">
            <v>U-2</v>
          </cell>
        </row>
        <row r="163">
          <cell r="B163" t="str">
            <v>Ramji Nankau</v>
          </cell>
          <cell r="C163">
            <v>24790</v>
          </cell>
          <cell r="D163">
            <v>15000</v>
          </cell>
          <cell r="E163">
            <v>15000</v>
          </cell>
          <cell r="F163">
            <v>15000</v>
          </cell>
          <cell r="G163">
            <v>1800</v>
          </cell>
          <cell r="H163">
            <v>1250</v>
          </cell>
          <cell r="I163">
            <v>550</v>
          </cell>
          <cell r="J163">
            <v>1</v>
          </cell>
          <cell r="K163">
            <v>0</v>
          </cell>
          <cell r="L163" t="str">
            <v>U-2</v>
          </cell>
        </row>
        <row r="164">
          <cell r="B164" t="str">
            <v>ARVIND KUMAR DHARMESH</v>
          </cell>
          <cell r="C164">
            <v>35666</v>
          </cell>
          <cell r="D164">
            <v>15000</v>
          </cell>
          <cell r="E164">
            <v>15000</v>
          </cell>
          <cell r="F164">
            <v>15000</v>
          </cell>
          <cell r="G164">
            <v>1800</v>
          </cell>
          <cell r="H164">
            <v>1250</v>
          </cell>
          <cell r="I164">
            <v>550</v>
          </cell>
          <cell r="J164">
            <v>0</v>
          </cell>
          <cell r="K164">
            <v>0</v>
          </cell>
          <cell r="L164" t="str">
            <v>U-2</v>
          </cell>
        </row>
        <row r="165">
          <cell r="B165" t="str">
            <v>Kamal Kishor Rajaram</v>
          </cell>
          <cell r="C165">
            <v>33805</v>
          </cell>
          <cell r="D165">
            <v>15000</v>
          </cell>
          <cell r="E165">
            <v>15000</v>
          </cell>
          <cell r="F165">
            <v>15000</v>
          </cell>
          <cell r="G165">
            <v>1800</v>
          </cell>
          <cell r="H165">
            <v>1250</v>
          </cell>
          <cell r="I165">
            <v>550</v>
          </cell>
          <cell r="J165">
            <v>0</v>
          </cell>
          <cell r="K165">
            <v>0</v>
          </cell>
          <cell r="L165" t="str">
            <v>U-2</v>
          </cell>
        </row>
        <row r="166">
          <cell r="B166" t="str">
            <v>Vishram Kallu Prasad</v>
          </cell>
          <cell r="C166">
            <v>39460</v>
          </cell>
          <cell r="D166">
            <v>15000</v>
          </cell>
          <cell r="E166">
            <v>15000</v>
          </cell>
          <cell r="F166">
            <v>15000</v>
          </cell>
          <cell r="G166">
            <v>1800</v>
          </cell>
          <cell r="H166">
            <v>1250</v>
          </cell>
          <cell r="I166">
            <v>550</v>
          </cell>
          <cell r="J166">
            <v>0</v>
          </cell>
          <cell r="K166">
            <v>0</v>
          </cell>
          <cell r="L166" t="str">
            <v>U-2</v>
          </cell>
        </row>
        <row r="167">
          <cell r="B167" t="str">
            <v>Ashutosh Dharmesh Saroj</v>
          </cell>
          <cell r="C167">
            <v>17199</v>
          </cell>
          <cell r="D167">
            <v>15000</v>
          </cell>
          <cell r="E167">
            <v>15000</v>
          </cell>
          <cell r="F167">
            <v>15000</v>
          </cell>
          <cell r="G167">
            <v>1800</v>
          </cell>
          <cell r="H167">
            <v>1250</v>
          </cell>
          <cell r="I167">
            <v>550</v>
          </cell>
          <cell r="J167">
            <v>0</v>
          </cell>
          <cell r="K167">
            <v>0</v>
          </cell>
          <cell r="L167" t="str">
            <v>U-2</v>
          </cell>
        </row>
        <row r="168">
          <cell r="B168" t="str">
            <v>Ritesh Deshraj</v>
          </cell>
          <cell r="C168">
            <v>16765</v>
          </cell>
          <cell r="D168">
            <v>15000</v>
          </cell>
          <cell r="E168">
            <v>15000</v>
          </cell>
          <cell r="F168">
            <v>15000</v>
          </cell>
          <cell r="G168">
            <v>1800</v>
          </cell>
          <cell r="H168">
            <v>1250</v>
          </cell>
          <cell r="I168">
            <v>550</v>
          </cell>
          <cell r="J168">
            <v>1</v>
          </cell>
          <cell r="K168">
            <v>0</v>
          </cell>
          <cell r="L168" t="str">
            <v>U-2</v>
          </cell>
        </row>
        <row r="169">
          <cell r="B169" t="str">
            <v>HEMRAJ ASHRAM</v>
          </cell>
          <cell r="C169">
            <v>32202</v>
          </cell>
          <cell r="D169">
            <v>15000</v>
          </cell>
          <cell r="E169">
            <v>15000</v>
          </cell>
          <cell r="F169">
            <v>15000</v>
          </cell>
          <cell r="G169">
            <v>1800</v>
          </cell>
          <cell r="H169">
            <v>1250</v>
          </cell>
          <cell r="I169">
            <v>550</v>
          </cell>
          <cell r="J169">
            <v>0</v>
          </cell>
          <cell r="K169">
            <v>0</v>
          </cell>
          <cell r="L169" t="str">
            <v>U-2</v>
          </cell>
        </row>
        <row r="170">
          <cell r="B170" t="str">
            <v>Vinay Kumar Kalishankar</v>
          </cell>
          <cell r="C170">
            <v>57304</v>
          </cell>
          <cell r="D170">
            <v>15000</v>
          </cell>
          <cell r="E170">
            <v>15000</v>
          </cell>
          <cell r="F170">
            <v>15000</v>
          </cell>
          <cell r="G170">
            <v>1800</v>
          </cell>
          <cell r="H170">
            <v>1250</v>
          </cell>
          <cell r="I170">
            <v>550</v>
          </cell>
          <cell r="J170">
            <v>0</v>
          </cell>
          <cell r="K170">
            <v>0</v>
          </cell>
          <cell r="L170" t="str">
            <v>U-2</v>
          </cell>
        </row>
        <row r="171">
          <cell r="B171" t="str">
            <v>Sushil JagdishPrasad Yadav</v>
          </cell>
          <cell r="C171">
            <v>35065</v>
          </cell>
          <cell r="D171">
            <v>15000</v>
          </cell>
          <cell r="E171">
            <v>15000</v>
          </cell>
          <cell r="F171">
            <v>15000</v>
          </cell>
          <cell r="G171">
            <v>1800</v>
          </cell>
          <cell r="H171">
            <v>1250</v>
          </cell>
          <cell r="I171">
            <v>550</v>
          </cell>
          <cell r="J171">
            <v>0</v>
          </cell>
          <cell r="K171">
            <v>0</v>
          </cell>
          <cell r="L171" t="str">
            <v>U-2</v>
          </cell>
        </row>
        <row r="172">
          <cell r="B172" t="str">
            <v>Dashrath Prasad Yadav</v>
          </cell>
          <cell r="C172">
            <v>8507</v>
          </cell>
          <cell r="D172">
            <v>8507</v>
          </cell>
          <cell r="E172">
            <v>8507</v>
          </cell>
          <cell r="F172">
            <v>8507</v>
          </cell>
          <cell r="G172">
            <v>1021</v>
          </cell>
          <cell r="H172">
            <v>709</v>
          </cell>
          <cell r="I172">
            <v>312</v>
          </cell>
          <cell r="J172">
            <v>0</v>
          </cell>
          <cell r="K172">
            <v>0</v>
          </cell>
          <cell r="L172" t="str">
            <v>U-2</v>
          </cell>
        </row>
        <row r="173">
          <cell r="B173" t="str">
            <v>Sandeep Kumar Basudev</v>
          </cell>
          <cell r="C173">
            <v>21204</v>
          </cell>
          <cell r="D173">
            <v>15000</v>
          </cell>
          <cell r="E173">
            <v>15000</v>
          </cell>
          <cell r="F173">
            <v>15000</v>
          </cell>
          <cell r="G173">
            <v>1800</v>
          </cell>
          <cell r="H173">
            <v>1250</v>
          </cell>
          <cell r="I173">
            <v>550</v>
          </cell>
          <cell r="J173">
            <v>0</v>
          </cell>
          <cell r="K173">
            <v>0</v>
          </cell>
          <cell r="L173" t="str">
            <v>U-2</v>
          </cell>
        </row>
        <row r="174">
          <cell r="B174" t="str">
            <v>Raj Bahadur Soorjdin Yadav</v>
          </cell>
          <cell r="C174">
            <v>44974</v>
          </cell>
          <cell r="D174">
            <v>15000</v>
          </cell>
          <cell r="E174">
            <v>15000</v>
          </cell>
          <cell r="F174">
            <v>15000</v>
          </cell>
          <cell r="G174">
            <v>1800</v>
          </cell>
          <cell r="H174">
            <v>1250</v>
          </cell>
          <cell r="I174">
            <v>550</v>
          </cell>
          <cell r="J174">
            <v>0</v>
          </cell>
          <cell r="K174">
            <v>0</v>
          </cell>
          <cell r="L174" t="str">
            <v>U-2</v>
          </cell>
        </row>
        <row r="175">
          <cell r="B175" t="str">
            <v>Sanjay Kumar Chote lal</v>
          </cell>
          <cell r="C175">
            <v>19091</v>
          </cell>
          <cell r="D175">
            <v>15000</v>
          </cell>
          <cell r="E175">
            <v>15000</v>
          </cell>
          <cell r="F175">
            <v>15000</v>
          </cell>
          <cell r="G175">
            <v>1800</v>
          </cell>
          <cell r="H175">
            <v>1250</v>
          </cell>
          <cell r="I175">
            <v>550</v>
          </cell>
          <cell r="J175">
            <v>0</v>
          </cell>
          <cell r="K175">
            <v>0</v>
          </cell>
          <cell r="L175" t="str">
            <v>U-2</v>
          </cell>
        </row>
        <row r="176">
          <cell r="B176" t="str">
            <v>Vinod rakesh saroj</v>
          </cell>
          <cell r="C176">
            <v>28180</v>
          </cell>
          <cell r="D176">
            <v>15000</v>
          </cell>
          <cell r="E176">
            <v>15000</v>
          </cell>
          <cell r="F176">
            <v>15000</v>
          </cell>
          <cell r="G176">
            <v>1800</v>
          </cell>
          <cell r="H176">
            <v>1250</v>
          </cell>
          <cell r="I176">
            <v>550</v>
          </cell>
          <cell r="J176">
            <v>0</v>
          </cell>
          <cell r="K176">
            <v>0</v>
          </cell>
          <cell r="L176" t="str">
            <v>U-2</v>
          </cell>
        </row>
        <row r="177">
          <cell r="B177" t="str">
            <v>Shiv Milan Vishwakarma</v>
          </cell>
          <cell r="C177">
            <v>26416</v>
          </cell>
          <cell r="D177">
            <v>15000</v>
          </cell>
          <cell r="E177">
            <v>15000</v>
          </cell>
          <cell r="F177">
            <v>15000</v>
          </cell>
          <cell r="G177">
            <v>1800</v>
          </cell>
          <cell r="H177">
            <v>1250</v>
          </cell>
          <cell r="I177">
            <v>550</v>
          </cell>
          <cell r="J177">
            <v>0</v>
          </cell>
          <cell r="K177">
            <v>0</v>
          </cell>
          <cell r="L177" t="str">
            <v>U-2</v>
          </cell>
        </row>
        <row r="178">
          <cell r="B178" t="str">
            <v>Sonu Raju</v>
          </cell>
          <cell r="C178">
            <v>31570</v>
          </cell>
          <cell r="D178">
            <v>15000</v>
          </cell>
          <cell r="E178">
            <v>15000</v>
          </cell>
          <cell r="F178">
            <v>15000</v>
          </cell>
          <cell r="G178">
            <v>1800</v>
          </cell>
          <cell r="H178">
            <v>1250</v>
          </cell>
          <cell r="I178">
            <v>550</v>
          </cell>
          <cell r="J178">
            <v>0</v>
          </cell>
          <cell r="K178">
            <v>0</v>
          </cell>
          <cell r="L178" t="str">
            <v>U-2</v>
          </cell>
        </row>
        <row r="179">
          <cell r="B179" t="str">
            <v>Ram Roop Chedilal</v>
          </cell>
          <cell r="C179">
            <v>24483</v>
          </cell>
          <cell r="D179">
            <v>15000</v>
          </cell>
          <cell r="E179">
            <v>15000</v>
          </cell>
          <cell r="F179">
            <v>15000</v>
          </cell>
          <cell r="G179">
            <v>1800</v>
          </cell>
          <cell r="H179">
            <v>1250</v>
          </cell>
          <cell r="I179">
            <v>550</v>
          </cell>
          <cell r="J179">
            <v>0</v>
          </cell>
          <cell r="K179">
            <v>0</v>
          </cell>
          <cell r="L179" t="str">
            <v>U-2</v>
          </cell>
        </row>
        <row r="180">
          <cell r="B180" t="str">
            <v>Neelesh Deshraj Yadav</v>
          </cell>
          <cell r="C180">
            <v>17255</v>
          </cell>
          <cell r="D180">
            <v>15000</v>
          </cell>
          <cell r="E180">
            <v>15000</v>
          </cell>
          <cell r="F180">
            <v>15000</v>
          </cell>
          <cell r="G180">
            <v>1800</v>
          </cell>
          <cell r="H180">
            <v>1250</v>
          </cell>
          <cell r="I180">
            <v>550</v>
          </cell>
          <cell r="J180">
            <v>0</v>
          </cell>
          <cell r="K180">
            <v>0</v>
          </cell>
          <cell r="L180" t="str">
            <v>U-2</v>
          </cell>
        </row>
        <row r="181">
          <cell r="B181" t="str">
            <v>Vinod kumar Yamuna Prasad Yadav</v>
          </cell>
          <cell r="C181">
            <v>18279</v>
          </cell>
          <cell r="D181">
            <v>15000</v>
          </cell>
          <cell r="E181">
            <v>15000</v>
          </cell>
          <cell r="F181">
            <v>15000</v>
          </cell>
          <cell r="G181">
            <v>1800</v>
          </cell>
          <cell r="H181">
            <v>1250</v>
          </cell>
          <cell r="I181">
            <v>550</v>
          </cell>
          <cell r="J181">
            <v>1</v>
          </cell>
          <cell r="K181">
            <v>0</v>
          </cell>
          <cell r="L181" t="str">
            <v>U-2</v>
          </cell>
        </row>
        <row r="182">
          <cell r="B182" t="str">
            <v>Prem Kumar Ram Naresh</v>
          </cell>
          <cell r="C182">
            <v>20103</v>
          </cell>
          <cell r="D182">
            <v>15000</v>
          </cell>
          <cell r="E182">
            <v>15000</v>
          </cell>
          <cell r="F182">
            <v>15000</v>
          </cell>
          <cell r="G182">
            <v>1800</v>
          </cell>
          <cell r="H182">
            <v>1250</v>
          </cell>
          <cell r="I182">
            <v>550</v>
          </cell>
          <cell r="J182">
            <v>0</v>
          </cell>
          <cell r="K182">
            <v>0</v>
          </cell>
          <cell r="L182" t="str">
            <v>U-2</v>
          </cell>
        </row>
        <row r="183">
          <cell r="B183" t="str">
            <v>VIJAYBHAI HARMANBHAI JADAV</v>
          </cell>
          <cell r="C183">
            <v>40791</v>
          </cell>
          <cell r="D183">
            <v>15000</v>
          </cell>
          <cell r="E183">
            <v>15000</v>
          </cell>
          <cell r="F183">
            <v>15000</v>
          </cell>
          <cell r="G183">
            <v>1800</v>
          </cell>
          <cell r="H183">
            <v>1250</v>
          </cell>
          <cell r="I183">
            <v>550</v>
          </cell>
          <cell r="J183">
            <v>0</v>
          </cell>
          <cell r="K183">
            <v>0</v>
          </cell>
          <cell r="L183" t="str">
            <v>U-2</v>
          </cell>
        </row>
        <row r="184">
          <cell r="B184" t="str">
            <v>MARATHA NANUNATH DAVALNATH</v>
          </cell>
          <cell r="C184">
            <v>17667</v>
          </cell>
          <cell r="D184">
            <v>15000</v>
          </cell>
          <cell r="E184">
            <v>15000</v>
          </cell>
          <cell r="F184">
            <v>15000</v>
          </cell>
          <cell r="G184">
            <v>1800</v>
          </cell>
          <cell r="H184">
            <v>1250</v>
          </cell>
          <cell r="I184">
            <v>550</v>
          </cell>
          <cell r="J184">
            <v>1</v>
          </cell>
          <cell r="K184">
            <v>0</v>
          </cell>
          <cell r="L184" t="str">
            <v>U-2</v>
          </cell>
        </row>
        <row r="185">
          <cell r="B185" t="str">
            <v>ROHIT TUSHARBHAI CHANDUBHAI</v>
          </cell>
          <cell r="C185">
            <v>14470</v>
          </cell>
          <cell r="D185">
            <v>14470</v>
          </cell>
          <cell r="E185">
            <v>14470</v>
          </cell>
          <cell r="F185">
            <v>14470</v>
          </cell>
          <cell r="G185">
            <v>1736</v>
          </cell>
          <cell r="H185">
            <v>1205</v>
          </cell>
          <cell r="I185">
            <v>531</v>
          </cell>
          <cell r="J185">
            <v>9</v>
          </cell>
          <cell r="K185">
            <v>0</v>
          </cell>
          <cell r="L185" t="str">
            <v>U-2</v>
          </cell>
        </row>
        <row r="186">
          <cell r="B186" t="str">
            <v>PARMAR RAJENDRABHAI DAHYABHAI</v>
          </cell>
          <cell r="C186">
            <v>22997</v>
          </cell>
          <cell r="D186">
            <v>15000</v>
          </cell>
          <cell r="E186">
            <v>15000</v>
          </cell>
          <cell r="F186">
            <v>15000</v>
          </cell>
          <cell r="G186">
            <v>1800</v>
          </cell>
          <cell r="H186">
            <v>1250</v>
          </cell>
          <cell r="I186">
            <v>550</v>
          </cell>
          <cell r="J186">
            <v>0</v>
          </cell>
          <cell r="K186">
            <v>0</v>
          </cell>
          <cell r="L186" t="str">
            <v>U-2</v>
          </cell>
        </row>
        <row r="187">
          <cell r="B187" t="str">
            <v>NIRAJKUMAR CHIMANBHAI JADAV</v>
          </cell>
          <cell r="C187">
            <v>13295</v>
          </cell>
          <cell r="D187">
            <v>13295</v>
          </cell>
          <cell r="E187">
            <v>13295</v>
          </cell>
          <cell r="F187">
            <v>13295</v>
          </cell>
          <cell r="G187">
            <v>1595</v>
          </cell>
          <cell r="H187">
            <v>1107</v>
          </cell>
          <cell r="I187">
            <v>488</v>
          </cell>
          <cell r="J187">
            <v>1</v>
          </cell>
          <cell r="K187">
            <v>0</v>
          </cell>
          <cell r="L187" t="str">
            <v>U-2</v>
          </cell>
        </row>
        <row r="188">
          <cell r="B188" t="str">
            <v>Sagarbhai Pareshbhai Rathodiya</v>
          </cell>
          <cell r="C188">
            <v>10035</v>
          </cell>
          <cell r="D188">
            <v>10035</v>
          </cell>
          <cell r="E188">
            <v>10035</v>
          </cell>
          <cell r="F188">
            <v>10035</v>
          </cell>
          <cell r="G188">
            <v>1204</v>
          </cell>
          <cell r="H188">
            <v>836</v>
          </cell>
          <cell r="I188">
            <v>368</v>
          </cell>
          <cell r="J188">
            <v>6</v>
          </cell>
          <cell r="K188">
            <v>0</v>
          </cell>
          <cell r="L188" t="str">
            <v>U-2</v>
          </cell>
        </row>
        <row r="189">
          <cell r="B189" t="str">
            <v>Vasava Arjun Kalidas</v>
          </cell>
          <cell r="C189">
            <v>14624</v>
          </cell>
          <cell r="D189">
            <v>14624</v>
          </cell>
          <cell r="E189">
            <v>14624</v>
          </cell>
          <cell r="F189">
            <v>14624</v>
          </cell>
          <cell r="G189">
            <v>1755</v>
          </cell>
          <cell r="H189">
            <v>1218</v>
          </cell>
          <cell r="I189">
            <v>537</v>
          </cell>
          <cell r="J189">
            <v>4</v>
          </cell>
          <cell r="K189">
            <v>0</v>
          </cell>
          <cell r="L189" t="str">
            <v>U-2</v>
          </cell>
        </row>
        <row r="190">
          <cell r="B190" t="str">
            <v>RAVAL DAXSESHBHAI BHAILALBHAI</v>
          </cell>
          <cell r="C190">
            <v>11870</v>
          </cell>
          <cell r="D190">
            <v>11870</v>
          </cell>
          <cell r="E190">
            <v>11870</v>
          </cell>
          <cell r="F190">
            <v>11870</v>
          </cell>
          <cell r="G190">
            <v>1424</v>
          </cell>
          <cell r="H190">
            <v>989</v>
          </cell>
          <cell r="I190">
            <v>435</v>
          </cell>
          <cell r="J190">
            <v>6</v>
          </cell>
          <cell r="K190">
            <v>0</v>
          </cell>
          <cell r="L190" t="str">
            <v>U-2</v>
          </cell>
        </row>
        <row r="191">
          <cell r="B191" t="str">
            <v>Ramchand Tej Bahadur</v>
          </cell>
          <cell r="C191">
            <v>17255</v>
          </cell>
          <cell r="D191">
            <v>15000</v>
          </cell>
          <cell r="E191">
            <v>15000</v>
          </cell>
          <cell r="F191">
            <v>15000</v>
          </cell>
          <cell r="G191">
            <v>1800</v>
          </cell>
          <cell r="H191">
            <v>1250</v>
          </cell>
          <cell r="I191">
            <v>550</v>
          </cell>
          <cell r="J191">
            <v>2</v>
          </cell>
          <cell r="K191">
            <v>0</v>
          </cell>
          <cell r="L191" t="str">
            <v>U-2</v>
          </cell>
        </row>
        <row r="192">
          <cell r="B192" t="str">
            <v>Ritik Sanjay</v>
          </cell>
          <cell r="C192">
            <v>19641</v>
          </cell>
          <cell r="D192">
            <v>15000</v>
          </cell>
          <cell r="E192">
            <v>15000</v>
          </cell>
          <cell r="F192">
            <v>15000</v>
          </cell>
          <cell r="G192">
            <v>1800</v>
          </cell>
          <cell r="H192">
            <v>1250</v>
          </cell>
          <cell r="I192">
            <v>550</v>
          </cell>
          <cell r="J192">
            <v>0</v>
          </cell>
          <cell r="K192">
            <v>0</v>
          </cell>
          <cell r="L192" t="str">
            <v>U-2</v>
          </cell>
        </row>
        <row r="193">
          <cell r="B193" t="str">
            <v>Sanjit Kumar Santram</v>
          </cell>
          <cell r="C193">
            <v>28398</v>
          </cell>
          <cell r="D193">
            <v>15000</v>
          </cell>
          <cell r="E193">
            <v>15000</v>
          </cell>
          <cell r="F193">
            <v>15000</v>
          </cell>
          <cell r="G193">
            <v>1800</v>
          </cell>
          <cell r="H193">
            <v>1250</v>
          </cell>
          <cell r="I193">
            <v>550</v>
          </cell>
          <cell r="J193">
            <v>0</v>
          </cell>
          <cell r="K193">
            <v>0</v>
          </cell>
          <cell r="L193" t="str">
            <v>U-2</v>
          </cell>
        </row>
        <row r="194">
          <cell r="B194" t="str">
            <v>Sindha Kiranbhai Manubhai</v>
          </cell>
          <cell r="C194">
            <v>8199</v>
          </cell>
          <cell r="D194">
            <v>8199</v>
          </cell>
          <cell r="E194">
            <v>8199</v>
          </cell>
          <cell r="F194">
            <v>8199</v>
          </cell>
          <cell r="G194">
            <v>984</v>
          </cell>
          <cell r="H194">
            <v>683</v>
          </cell>
          <cell r="I194">
            <v>301</v>
          </cell>
          <cell r="J194">
            <v>10</v>
          </cell>
          <cell r="K194">
            <v>0</v>
          </cell>
          <cell r="L194" t="str">
            <v>U-2</v>
          </cell>
        </row>
        <row r="195">
          <cell r="B195" t="str">
            <v>Rajendra Kumar Ram Harsh</v>
          </cell>
          <cell r="C195">
            <v>21416</v>
          </cell>
          <cell r="D195">
            <v>15000</v>
          </cell>
          <cell r="E195">
            <v>15000</v>
          </cell>
          <cell r="F195">
            <v>15000</v>
          </cell>
          <cell r="G195">
            <v>1800</v>
          </cell>
          <cell r="H195">
            <v>1250</v>
          </cell>
          <cell r="I195">
            <v>550</v>
          </cell>
          <cell r="J195">
            <v>2</v>
          </cell>
          <cell r="K195">
            <v>0</v>
          </cell>
          <cell r="L195" t="str">
            <v>U-2</v>
          </cell>
        </row>
        <row r="196">
          <cell r="B196" t="str">
            <v>Jitendrabhai Narayanbhai Parmar</v>
          </cell>
          <cell r="C196">
            <v>11259</v>
          </cell>
          <cell r="D196">
            <v>11259</v>
          </cell>
          <cell r="E196">
            <v>11259</v>
          </cell>
          <cell r="F196">
            <v>11259</v>
          </cell>
          <cell r="G196">
            <v>1351</v>
          </cell>
          <cell r="H196">
            <v>938</v>
          </cell>
          <cell r="I196">
            <v>413</v>
          </cell>
          <cell r="J196">
            <v>3</v>
          </cell>
          <cell r="K196">
            <v>0</v>
          </cell>
          <cell r="L196" t="str">
            <v>U-2</v>
          </cell>
        </row>
        <row r="197">
          <cell r="B197" t="str">
            <v>Yogeshbhai Yashvantbhai Solanki</v>
          </cell>
          <cell r="C197">
            <v>11748</v>
          </cell>
          <cell r="D197">
            <v>11748</v>
          </cell>
          <cell r="E197">
            <v>11748</v>
          </cell>
          <cell r="F197">
            <v>11748</v>
          </cell>
          <cell r="G197">
            <v>1410</v>
          </cell>
          <cell r="H197">
            <v>979</v>
          </cell>
          <cell r="I197">
            <v>431</v>
          </cell>
          <cell r="J197">
            <v>2</v>
          </cell>
          <cell r="K197">
            <v>0</v>
          </cell>
          <cell r="L197" t="str">
            <v>U-2</v>
          </cell>
        </row>
        <row r="198">
          <cell r="B198" t="str">
            <v>Jadav Karansinh Mahipatsinh</v>
          </cell>
          <cell r="C198">
            <v>11748</v>
          </cell>
          <cell r="D198">
            <v>11748</v>
          </cell>
          <cell r="E198">
            <v>11748</v>
          </cell>
          <cell r="F198">
            <v>11748</v>
          </cell>
          <cell r="G198">
            <v>1410</v>
          </cell>
          <cell r="H198">
            <v>979</v>
          </cell>
          <cell r="I198">
            <v>431</v>
          </cell>
          <cell r="J198">
            <v>2</v>
          </cell>
          <cell r="K198">
            <v>0</v>
          </cell>
          <cell r="L198" t="str">
            <v>U-2</v>
          </cell>
        </row>
        <row r="199">
          <cell r="B199" t="str">
            <v>Vasava Jayeshbhai Kalidas</v>
          </cell>
          <cell r="C199">
            <v>9301</v>
          </cell>
          <cell r="D199">
            <v>9301</v>
          </cell>
          <cell r="E199">
            <v>9301</v>
          </cell>
          <cell r="F199">
            <v>9301</v>
          </cell>
          <cell r="G199">
            <v>1116</v>
          </cell>
          <cell r="H199">
            <v>775</v>
          </cell>
          <cell r="I199">
            <v>341</v>
          </cell>
          <cell r="J199">
            <v>7</v>
          </cell>
          <cell r="K199">
            <v>0</v>
          </cell>
          <cell r="L199" t="str">
            <v>U-2</v>
          </cell>
        </row>
        <row r="200">
          <cell r="B200" t="str">
            <v>Mali Rashmikaben Rajubhai</v>
          </cell>
          <cell r="C200">
            <v>11503</v>
          </cell>
          <cell r="D200">
            <v>11503</v>
          </cell>
          <cell r="E200">
            <v>11503</v>
          </cell>
          <cell r="F200">
            <v>11503</v>
          </cell>
          <cell r="G200">
            <v>1380</v>
          </cell>
          <cell r="H200">
            <v>958</v>
          </cell>
          <cell r="I200">
            <v>422</v>
          </cell>
          <cell r="J200">
            <v>4</v>
          </cell>
          <cell r="K200">
            <v>0</v>
          </cell>
          <cell r="L200" t="str">
            <v>U-2</v>
          </cell>
        </row>
        <row r="201">
          <cell r="B201" t="str">
            <v>Snehalben Kishorsinh Vaghela</v>
          </cell>
          <cell r="C201">
            <v>11993</v>
          </cell>
          <cell r="D201">
            <v>11993</v>
          </cell>
          <cell r="E201">
            <v>11993</v>
          </cell>
          <cell r="F201">
            <v>11993</v>
          </cell>
          <cell r="G201">
            <v>1439</v>
          </cell>
          <cell r="H201">
            <v>999</v>
          </cell>
          <cell r="I201">
            <v>440</v>
          </cell>
          <cell r="J201">
            <v>2</v>
          </cell>
          <cell r="K201">
            <v>0</v>
          </cell>
          <cell r="L201" t="str">
            <v>U-2</v>
          </cell>
        </row>
        <row r="202">
          <cell r="B202" t="str">
            <v>RAHUL HARIRAM KUMAR</v>
          </cell>
          <cell r="C202">
            <v>38088</v>
          </cell>
          <cell r="D202">
            <v>15000</v>
          </cell>
          <cell r="E202">
            <v>15000</v>
          </cell>
          <cell r="F202">
            <v>15000</v>
          </cell>
          <cell r="G202">
            <v>1800</v>
          </cell>
          <cell r="H202">
            <v>1250</v>
          </cell>
          <cell r="I202">
            <v>550</v>
          </cell>
          <cell r="J202">
            <v>0</v>
          </cell>
          <cell r="K202">
            <v>0</v>
          </cell>
          <cell r="L202" t="str">
            <v>U-2</v>
          </cell>
        </row>
        <row r="203">
          <cell r="B203" t="str">
            <v>Bharat Lal Deshraj</v>
          </cell>
          <cell r="C203">
            <v>28703</v>
          </cell>
          <cell r="D203">
            <v>15000</v>
          </cell>
          <cell r="E203">
            <v>15000</v>
          </cell>
          <cell r="F203">
            <v>15000</v>
          </cell>
          <cell r="G203">
            <v>1800</v>
          </cell>
          <cell r="H203">
            <v>1250</v>
          </cell>
          <cell r="I203">
            <v>550</v>
          </cell>
          <cell r="J203">
            <v>0</v>
          </cell>
          <cell r="K203">
            <v>0</v>
          </cell>
          <cell r="L203" t="str">
            <v>U-2</v>
          </cell>
        </row>
        <row r="204">
          <cell r="B204" t="str">
            <v>Sunilbhai Ramlabhai Rathod</v>
          </cell>
          <cell r="C204">
            <v>979</v>
          </cell>
          <cell r="D204">
            <v>979</v>
          </cell>
          <cell r="E204">
            <v>979</v>
          </cell>
          <cell r="F204">
            <v>979</v>
          </cell>
          <cell r="G204">
            <v>117</v>
          </cell>
          <cell r="H204">
            <v>82</v>
          </cell>
          <cell r="I204">
            <v>35</v>
          </cell>
          <cell r="J204">
            <v>0</v>
          </cell>
          <cell r="K204">
            <v>0</v>
          </cell>
          <cell r="L204" t="str">
            <v>U-2</v>
          </cell>
        </row>
        <row r="205">
          <cell r="B205" t="str">
            <v>Sahil Khan Alamgir khan</v>
          </cell>
          <cell r="C205">
            <v>2019</v>
          </cell>
          <cell r="D205">
            <v>2019</v>
          </cell>
          <cell r="E205">
            <v>2019</v>
          </cell>
          <cell r="F205">
            <v>2019</v>
          </cell>
          <cell r="G205">
            <v>242</v>
          </cell>
          <cell r="H205">
            <v>168</v>
          </cell>
          <cell r="I205">
            <v>74</v>
          </cell>
          <cell r="J205">
            <v>0</v>
          </cell>
          <cell r="K205">
            <v>0</v>
          </cell>
          <cell r="L205" t="str">
            <v>U-2</v>
          </cell>
        </row>
        <row r="206">
          <cell r="B206" t="str">
            <v>Radhey ram Chandra</v>
          </cell>
          <cell r="C206">
            <v>18540</v>
          </cell>
          <cell r="D206">
            <v>15000</v>
          </cell>
          <cell r="E206">
            <v>15000</v>
          </cell>
          <cell r="F206">
            <v>15000</v>
          </cell>
          <cell r="G206">
            <v>1800</v>
          </cell>
          <cell r="H206">
            <v>1250</v>
          </cell>
          <cell r="I206">
            <v>550</v>
          </cell>
          <cell r="J206">
            <v>0</v>
          </cell>
          <cell r="K206">
            <v>0</v>
          </cell>
          <cell r="L206" t="str">
            <v>U-2</v>
          </cell>
        </row>
        <row r="207">
          <cell r="B207" t="str">
            <v>Shivam Chandan</v>
          </cell>
          <cell r="C207">
            <v>3610</v>
          </cell>
          <cell r="D207">
            <v>3610</v>
          </cell>
          <cell r="E207">
            <v>3610</v>
          </cell>
          <cell r="F207">
            <v>3610</v>
          </cell>
          <cell r="G207">
            <v>433</v>
          </cell>
          <cell r="H207">
            <v>301</v>
          </cell>
          <cell r="I207">
            <v>132</v>
          </cell>
          <cell r="J207">
            <v>0</v>
          </cell>
          <cell r="K207">
            <v>0</v>
          </cell>
          <cell r="L207" t="str">
            <v>U-2</v>
          </cell>
        </row>
        <row r="208">
          <cell r="B208" t="str">
            <v>Ajay Chandan</v>
          </cell>
          <cell r="C208">
            <v>21387</v>
          </cell>
          <cell r="D208">
            <v>15000</v>
          </cell>
          <cell r="E208">
            <v>15000</v>
          </cell>
          <cell r="F208">
            <v>15000</v>
          </cell>
          <cell r="G208">
            <v>1800</v>
          </cell>
          <cell r="H208">
            <v>1250</v>
          </cell>
          <cell r="I208">
            <v>550</v>
          </cell>
          <cell r="J208">
            <v>0</v>
          </cell>
          <cell r="K208">
            <v>0</v>
          </cell>
          <cell r="L208" t="str">
            <v>U-2</v>
          </cell>
        </row>
        <row r="209">
          <cell r="B209" t="str">
            <v>Ankit Premdas</v>
          </cell>
          <cell r="C209">
            <v>25271</v>
          </cell>
          <cell r="D209">
            <v>15000</v>
          </cell>
          <cell r="E209">
            <v>15000</v>
          </cell>
          <cell r="F209">
            <v>15000</v>
          </cell>
          <cell r="G209">
            <v>1800</v>
          </cell>
          <cell r="H209">
            <v>1250</v>
          </cell>
          <cell r="I209">
            <v>550</v>
          </cell>
          <cell r="J209">
            <v>9</v>
          </cell>
          <cell r="K209">
            <v>0</v>
          </cell>
          <cell r="L209" t="str">
            <v>U-2</v>
          </cell>
        </row>
        <row r="210">
          <cell r="B210" t="str">
            <v>Shivam Ram Ganesh</v>
          </cell>
          <cell r="C210">
            <v>27315</v>
          </cell>
          <cell r="D210">
            <v>15000</v>
          </cell>
          <cell r="E210">
            <v>15000</v>
          </cell>
          <cell r="F210">
            <v>15000</v>
          </cell>
          <cell r="G210">
            <v>1800</v>
          </cell>
          <cell r="H210">
            <v>1250</v>
          </cell>
          <cell r="I210">
            <v>550</v>
          </cell>
          <cell r="J210">
            <v>0</v>
          </cell>
          <cell r="K210">
            <v>0</v>
          </cell>
          <cell r="L210" t="str">
            <v>U-2</v>
          </cell>
        </row>
        <row r="211">
          <cell r="B211" t="str">
            <v>Abhy Maya</v>
          </cell>
          <cell r="C211">
            <v>26482</v>
          </cell>
          <cell r="D211">
            <v>15000</v>
          </cell>
          <cell r="E211">
            <v>15000</v>
          </cell>
          <cell r="F211">
            <v>15000</v>
          </cell>
          <cell r="G211">
            <v>1800</v>
          </cell>
          <cell r="H211">
            <v>1250</v>
          </cell>
          <cell r="I211">
            <v>550</v>
          </cell>
          <cell r="J211">
            <v>0</v>
          </cell>
          <cell r="K211">
            <v>0</v>
          </cell>
          <cell r="L211" t="str">
            <v>U-2</v>
          </cell>
        </row>
        <row r="212">
          <cell r="B212" t="str">
            <v>Ajay Kumar Amarnath</v>
          </cell>
          <cell r="C212">
            <v>30181</v>
          </cell>
          <cell r="D212">
            <v>15000</v>
          </cell>
          <cell r="E212">
            <v>15000</v>
          </cell>
          <cell r="F212">
            <v>15000</v>
          </cell>
          <cell r="G212">
            <v>1800</v>
          </cell>
          <cell r="H212">
            <v>1250</v>
          </cell>
          <cell r="I212">
            <v>550</v>
          </cell>
          <cell r="J212">
            <v>0</v>
          </cell>
          <cell r="K212">
            <v>0</v>
          </cell>
          <cell r="L212" t="str">
            <v>U-2</v>
          </cell>
        </row>
        <row r="213">
          <cell r="B213" t="str">
            <v>Abhishek Kumar Chhedilal</v>
          </cell>
          <cell r="C213">
            <v>39099</v>
          </cell>
          <cell r="D213">
            <v>15000</v>
          </cell>
          <cell r="E213">
            <v>15000</v>
          </cell>
          <cell r="F213">
            <v>15000</v>
          </cell>
          <cell r="G213">
            <v>1800</v>
          </cell>
          <cell r="H213">
            <v>1250</v>
          </cell>
          <cell r="I213">
            <v>550</v>
          </cell>
          <cell r="J213">
            <v>8</v>
          </cell>
          <cell r="K213">
            <v>0</v>
          </cell>
          <cell r="L213" t="str">
            <v>U-2</v>
          </cell>
        </row>
        <row r="214">
          <cell r="B214" t="str">
            <v>Praveen Kumar Yadav</v>
          </cell>
          <cell r="C214">
            <v>29942</v>
          </cell>
          <cell r="D214">
            <v>15000</v>
          </cell>
          <cell r="E214">
            <v>15000</v>
          </cell>
          <cell r="F214">
            <v>15000</v>
          </cell>
          <cell r="G214">
            <v>1800</v>
          </cell>
          <cell r="H214">
            <v>1250</v>
          </cell>
          <cell r="I214">
            <v>550</v>
          </cell>
          <cell r="J214">
            <v>0</v>
          </cell>
          <cell r="K214">
            <v>0</v>
          </cell>
          <cell r="L214" t="str">
            <v>U-2</v>
          </cell>
        </row>
        <row r="215">
          <cell r="B215" t="str">
            <v>Abhishek Gaur</v>
          </cell>
          <cell r="C215">
            <v>20849</v>
          </cell>
          <cell r="D215">
            <v>15000</v>
          </cell>
          <cell r="E215">
            <v>15000</v>
          </cell>
          <cell r="F215">
            <v>15000</v>
          </cell>
          <cell r="G215">
            <v>1800</v>
          </cell>
          <cell r="H215">
            <v>1250</v>
          </cell>
          <cell r="I215">
            <v>550</v>
          </cell>
          <cell r="J215">
            <v>0</v>
          </cell>
          <cell r="K215">
            <v>0</v>
          </cell>
          <cell r="L215" t="str">
            <v>U-2</v>
          </cell>
        </row>
        <row r="216">
          <cell r="B216" t="str">
            <v>Ram Lakhan Sadhari</v>
          </cell>
          <cell r="C216">
            <v>24660</v>
          </cell>
          <cell r="D216">
            <v>15000</v>
          </cell>
          <cell r="E216">
            <v>15000</v>
          </cell>
          <cell r="F216">
            <v>15000</v>
          </cell>
          <cell r="G216">
            <v>1800</v>
          </cell>
          <cell r="H216">
            <v>1250</v>
          </cell>
          <cell r="I216">
            <v>550</v>
          </cell>
          <cell r="J216">
            <v>0</v>
          </cell>
          <cell r="K216">
            <v>0</v>
          </cell>
          <cell r="L216" t="str">
            <v>U-2</v>
          </cell>
        </row>
        <row r="217">
          <cell r="B217" t="str">
            <v>Monu Heera Lal</v>
          </cell>
          <cell r="C217">
            <v>26967</v>
          </cell>
          <cell r="D217">
            <v>15000</v>
          </cell>
          <cell r="E217">
            <v>15000</v>
          </cell>
          <cell r="F217">
            <v>15000</v>
          </cell>
          <cell r="G217">
            <v>1800</v>
          </cell>
          <cell r="H217">
            <v>1250</v>
          </cell>
          <cell r="I217">
            <v>550</v>
          </cell>
          <cell r="J217">
            <v>0</v>
          </cell>
          <cell r="K217">
            <v>0</v>
          </cell>
          <cell r="L217" t="str">
            <v>U-2</v>
          </cell>
        </row>
        <row r="218">
          <cell r="B218" t="str">
            <v>Ram Raj Sundar</v>
          </cell>
          <cell r="C218">
            <v>20743</v>
          </cell>
          <cell r="D218">
            <v>15000</v>
          </cell>
          <cell r="E218">
            <v>15000</v>
          </cell>
          <cell r="F218">
            <v>15000</v>
          </cell>
          <cell r="G218">
            <v>1800</v>
          </cell>
          <cell r="H218">
            <v>1250</v>
          </cell>
          <cell r="I218">
            <v>550</v>
          </cell>
          <cell r="J218">
            <v>0</v>
          </cell>
          <cell r="K218">
            <v>0</v>
          </cell>
          <cell r="L218" t="str">
            <v>U-2</v>
          </cell>
        </row>
        <row r="219">
          <cell r="B219" t="str">
            <v>Raval Jagdishbhai Kanubhai</v>
          </cell>
          <cell r="C219">
            <v>7832</v>
          </cell>
          <cell r="D219">
            <v>7832</v>
          </cell>
          <cell r="E219">
            <v>7832</v>
          </cell>
          <cell r="F219">
            <v>7832</v>
          </cell>
          <cell r="G219">
            <v>940</v>
          </cell>
          <cell r="H219">
            <v>652</v>
          </cell>
          <cell r="I219">
            <v>288</v>
          </cell>
          <cell r="J219">
            <v>10</v>
          </cell>
          <cell r="K219">
            <v>0</v>
          </cell>
          <cell r="L219" t="str">
            <v>U-2</v>
          </cell>
        </row>
        <row r="220">
          <cell r="B220" t="str">
            <v>Ashish Ramesh</v>
          </cell>
          <cell r="C220">
            <v>33827</v>
          </cell>
          <cell r="D220">
            <v>15000</v>
          </cell>
          <cell r="E220">
            <v>15000</v>
          </cell>
          <cell r="F220">
            <v>15000</v>
          </cell>
          <cell r="G220">
            <v>1800</v>
          </cell>
          <cell r="H220">
            <v>1250</v>
          </cell>
          <cell r="I220">
            <v>550</v>
          </cell>
          <cell r="J220">
            <v>0</v>
          </cell>
          <cell r="K220">
            <v>0</v>
          </cell>
          <cell r="L220" t="str">
            <v>U-2</v>
          </cell>
        </row>
        <row r="221">
          <cell r="B221" t="str">
            <v>Sindha Ajaysinh Dolatsinh</v>
          </cell>
          <cell r="C221">
            <v>6853</v>
          </cell>
          <cell r="D221">
            <v>6853</v>
          </cell>
          <cell r="E221">
            <v>6853</v>
          </cell>
          <cell r="F221">
            <v>6853</v>
          </cell>
          <cell r="G221">
            <v>822</v>
          </cell>
          <cell r="H221">
            <v>571</v>
          </cell>
          <cell r="I221">
            <v>251</v>
          </cell>
          <cell r="J221">
            <v>0</v>
          </cell>
          <cell r="K221">
            <v>0</v>
          </cell>
          <cell r="L221" t="str">
            <v>U-2</v>
          </cell>
        </row>
        <row r="222">
          <cell r="B222" t="str">
            <v>Makvana Harshadkumar Mahendrasinh</v>
          </cell>
          <cell r="C222">
            <v>4545</v>
          </cell>
          <cell r="D222">
            <v>4545</v>
          </cell>
          <cell r="E222">
            <v>4545</v>
          </cell>
          <cell r="F222">
            <v>4545</v>
          </cell>
          <cell r="G222">
            <v>545</v>
          </cell>
          <cell r="H222">
            <v>379</v>
          </cell>
          <cell r="I222">
            <v>166</v>
          </cell>
          <cell r="J222">
            <v>0</v>
          </cell>
          <cell r="K222">
            <v>0</v>
          </cell>
          <cell r="L222" t="str">
            <v>U-2</v>
          </cell>
        </row>
        <row r="223">
          <cell r="B223" t="str">
            <v>Shiv Kumar Sohan lal</v>
          </cell>
          <cell r="C223">
            <v>11828</v>
          </cell>
          <cell r="D223">
            <v>11828</v>
          </cell>
          <cell r="E223">
            <v>11828</v>
          </cell>
          <cell r="F223">
            <v>11828</v>
          </cell>
          <cell r="G223">
            <v>1419</v>
          </cell>
          <cell r="H223">
            <v>985</v>
          </cell>
          <cell r="I223">
            <v>434</v>
          </cell>
          <cell r="J223">
            <v>0</v>
          </cell>
          <cell r="K223">
            <v>0</v>
          </cell>
          <cell r="L223" t="str">
            <v>U-2</v>
          </cell>
        </row>
        <row r="224">
          <cell r="B224" t="str">
            <v>Vijay Kumar Sohan Lal</v>
          </cell>
          <cell r="C224">
            <v>16390</v>
          </cell>
          <cell r="D224">
            <v>15000</v>
          </cell>
          <cell r="E224">
            <v>15000</v>
          </cell>
          <cell r="F224">
            <v>15000</v>
          </cell>
          <cell r="G224">
            <v>1800</v>
          </cell>
          <cell r="H224">
            <v>1250</v>
          </cell>
          <cell r="I224">
            <v>550</v>
          </cell>
          <cell r="J224">
            <v>0</v>
          </cell>
          <cell r="K224">
            <v>0</v>
          </cell>
          <cell r="L224" t="str">
            <v>U-2</v>
          </cell>
        </row>
        <row r="225">
          <cell r="B225" t="str">
            <v>Dharmendra Nandlal Saroj</v>
          </cell>
          <cell r="C225">
            <v>12490</v>
          </cell>
          <cell r="D225">
            <v>12490</v>
          </cell>
          <cell r="E225">
            <v>12490</v>
          </cell>
          <cell r="F225">
            <v>12490</v>
          </cell>
          <cell r="G225">
            <v>1499</v>
          </cell>
          <cell r="H225">
            <v>1040</v>
          </cell>
          <cell r="I225">
            <v>459</v>
          </cell>
          <cell r="J225">
            <v>0</v>
          </cell>
          <cell r="K225">
            <v>0</v>
          </cell>
          <cell r="L225" t="str">
            <v>U-2</v>
          </cell>
        </row>
        <row r="226">
          <cell r="B226" t="str">
            <v>Vijay Bahadur Ramdas</v>
          </cell>
          <cell r="C226">
            <v>7891</v>
          </cell>
          <cell r="D226">
            <v>7891</v>
          </cell>
          <cell r="E226">
            <v>7891</v>
          </cell>
          <cell r="F226">
            <v>7891</v>
          </cell>
          <cell r="G226">
            <v>947</v>
          </cell>
          <cell r="H226">
            <v>657</v>
          </cell>
          <cell r="I226">
            <v>290</v>
          </cell>
          <cell r="J226">
            <v>0</v>
          </cell>
          <cell r="K226">
            <v>0</v>
          </cell>
          <cell r="L226" t="str">
            <v>U-2</v>
          </cell>
        </row>
        <row r="227">
          <cell r="B227" t="str">
            <v>Sateesh Shiv Shankar Tiwari</v>
          </cell>
          <cell r="C227">
            <v>26005</v>
          </cell>
          <cell r="D227">
            <v>15000</v>
          </cell>
          <cell r="E227">
            <v>15000</v>
          </cell>
          <cell r="F227">
            <v>15000</v>
          </cell>
          <cell r="G227">
            <v>1800</v>
          </cell>
          <cell r="H227">
            <v>1250</v>
          </cell>
          <cell r="I227">
            <v>550</v>
          </cell>
          <cell r="J227">
            <v>0</v>
          </cell>
          <cell r="K227">
            <v>0</v>
          </cell>
          <cell r="L227" t="str">
            <v>U-2</v>
          </cell>
        </row>
        <row r="228">
          <cell r="B228" t="str">
            <v>Shivanshu Ravi Shankar Dixit</v>
          </cell>
          <cell r="C228">
            <v>16109</v>
          </cell>
          <cell r="D228">
            <v>15000</v>
          </cell>
          <cell r="E228">
            <v>15000</v>
          </cell>
          <cell r="F228">
            <v>15000</v>
          </cell>
          <cell r="G228">
            <v>1800</v>
          </cell>
          <cell r="H228">
            <v>1250</v>
          </cell>
          <cell r="I228">
            <v>550</v>
          </cell>
          <cell r="J228">
            <v>6</v>
          </cell>
          <cell r="K228">
            <v>0</v>
          </cell>
          <cell r="L228" t="str">
            <v>U-2</v>
          </cell>
        </row>
        <row r="229">
          <cell r="B229" t="str">
            <v>Shivjit Kumar Kallu</v>
          </cell>
          <cell r="C229">
            <v>11197</v>
          </cell>
          <cell r="D229">
            <v>11197</v>
          </cell>
          <cell r="E229">
            <v>11197</v>
          </cell>
          <cell r="F229">
            <v>11197</v>
          </cell>
          <cell r="G229">
            <v>1344</v>
          </cell>
          <cell r="H229">
            <v>933</v>
          </cell>
          <cell r="I229">
            <v>411</v>
          </cell>
          <cell r="J229">
            <v>11</v>
          </cell>
          <cell r="K229">
            <v>0</v>
          </cell>
          <cell r="L229" t="str">
            <v>U-2</v>
          </cell>
        </row>
        <row r="230">
          <cell r="B230" t="str">
            <v>Raj Kumar Soorjdin Yadav (Raju)</v>
          </cell>
          <cell r="C230">
            <v>10708</v>
          </cell>
          <cell r="D230">
            <v>10708</v>
          </cell>
          <cell r="E230">
            <v>10708</v>
          </cell>
          <cell r="F230">
            <v>10708</v>
          </cell>
          <cell r="G230">
            <v>1285</v>
          </cell>
          <cell r="H230">
            <v>892</v>
          </cell>
          <cell r="I230">
            <v>393</v>
          </cell>
          <cell r="J230">
            <v>0</v>
          </cell>
          <cell r="K230">
            <v>0</v>
          </cell>
          <cell r="L230" t="str">
            <v>U-2</v>
          </cell>
        </row>
        <row r="231">
          <cell r="B231" t="str">
            <v>Dinesh Kumar Yadav Shyam Sundar</v>
          </cell>
          <cell r="C231">
            <v>5507</v>
          </cell>
          <cell r="D231">
            <v>5507</v>
          </cell>
          <cell r="E231">
            <v>5507</v>
          </cell>
          <cell r="F231">
            <v>5507</v>
          </cell>
          <cell r="G231">
            <v>661</v>
          </cell>
          <cell r="H231">
            <v>459</v>
          </cell>
          <cell r="I231">
            <v>202</v>
          </cell>
          <cell r="J231">
            <v>0</v>
          </cell>
          <cell r="K231">
            <v>0</v>
          </cell>
          <cell r="L231" t="str">
            <v>U-2</v>
          </cell>
        </row>
        <row r="232">
          <cell r="B232" t="str">
            <v>GHANSHYAMBHAI CHHOTABHAI MAKWANA</v>
          </cell>
          <cell r="C232">
            <v>10000</v>
          </cell>
          <cell r="D232">
            <v>10000</v>
          </cell>
          <cell r="E232">
            <v>10000</v>
          </cell>
          <cell r="F232">
            <v>10000</v>
          </cell>
          <cell r="G232">
            <v>1200</v>
          </cell>
          <cell r="H232">
            <v>833</v>
          </cell>
          <cell r="I232">
            <v>367</v>
          </cell>
          <cell r="J232">
            <v>6</v>
          </cell>
          <cell r="K232">
            <v>0</v>
          </cell>
          <cell r="L232" t="str">
            <v>U-2</v>
          </cell>
        </row>
        <row r="233">
          <cell r="B233" t="str">
            <v>Naginbhai Dahyabhai Mali</v>
          </cell>
          <cell r="C233">
            <v>11503</v>
          </cell>
          <cell r="D233">
            <v>11503</v>
          </cell>
          <cell r="E233">
            <v>11503</v>
          </cell>
          <cell r="F233">
            <v>11503</v>
          </cell>
          <cell r="G233">
            <v>1380</v>
          </cell>
          <cell r="H233">
            <v>958</v>
          </cell>
          <cell r="I233">
            <v>422</v>
          </cell>
          <cell r="J233">
            <v>3</v>
          </cell>
          <cell r="K233">
            <v>0</v>
          </cell>
          <cell r="L233" t="str">
            <v>U-4</v>
          </cell>
        </row>
        <row r="234">
          <cell r="B234" t="str">
            <v>Mali Maheshbhai Ramanbhai</v>
          </cell>
          <cell r="C234">
            <v>2937</v>
          </cell>
          <cell r="D234">
            <v>2937</v>
          </cell>
          <cell r="E234">
            <v>2937</v>
          </cell>
          <cell r="F234">
            <v>2937</v>
          </cell>
          <cell r="G234">
            <v>352</v>
          </cell>
          <cell r="H234">
            <v>245</v>
          </cell>
          <cell r="I234">
            <v>107</v>
          </cell>
          <cell r="J234">
            <v>0</v>
          </cell>
          <cell r="K234">
            <v>0</v>
          </cell>
          <cell r="L234" t="str">
            <v>U-4</v>
          </cell>
        </row>
        <row r="235">
          <cell r="B235" t="str">
            <v>Hiteshbhai Kanubhai Mali</v>
          </cell>
          <cell r="C235">
            <v>12666</v>
          </cell>
          <cell r="D235">
            <v>12666</v>
          </cell>
          <cell r="E235">
            <v>12666</v>
          </cell>
          <cell r="F235">
            <v>12666</v>
          </cell>
          <cell r="G235">
            <v>1520</v>
          </cell>
          <cell r="H235">
            <v>1055</v>
          </cell>
          <cell r="I235">
            <v>465</v>
          </cell>
          <cell r="J235">
            <v>0</v>
          </cell>
          <cell r="K235">
            <v>0</v>
          </cell>
          <cell r="L235" t="str">
            <v>U-4</v>
          </cell>
        </row>
        <row r="236">
          <cell r="B236" t="str">
            <v>SERAJ KHAN MUNIR KHAN</v>
          </cell>
          <cell r="C236">
            <v>6853</v>
          </cell>
          <cell r="D236">
            <v>6608</v>
          </cell>
          <cell r="E236">
            <v>6608</v>
          </cell>
          <cell r="F236">
            <v>6608</v>
          </cell>
          <cell r="G236">
            <v>793</v>
          </cell>
          <cell r="H236">
            <v>550</v>
          </cell>
          <cell r="I236">
            <v>243</v>
          </cell>
          <cell r="J236">
            <v>0</v>
          </cell>
          <cell r="K236">
            <v>0</v>
          </cell>
          <cell r="L236" t="str">
            <v>U-4</v>
          </cell>
        </row>
        <row r="237">
          <cell r="B237" t="str">
            <v>PADHIYAR SANJAYKUMAR HARISHBHAI</v>
          </cell>
          <cell r="C237">
            <v>18771</v>
          </cell>
          <cell r="D237">
            <v>15000</v>
          </cell>
          <cell r="E237">
            <v>15000</v>
          </cell>
          <cell r="F237">
            <v>15000</v>
          </cell>
          <cell r="G237">
            <v>1800</v>
          </cell>
          <cell r="H237">
            <v>1250</v>
          </cell>
          <cell r="I237">
            <v>550</v>
          </cell>
          <cell r="J237">
            <v>0</v>
          </cell>
          <cell r="K237">
            <v>0</v>
          </cell>
          <cell r="L237" t="str">
            <v>U-4</v>
          </cell>
        </row>
        <row r="238">
          <cell r="B238" t="str">
            <v xml:space="preserve">Chavda Jignesh </v>
          </cell>
          <cell r="C238">
            <v>12666</v>
          </cell>
          <cell r="D238">
            <v>12666</v>
          </cell>
          <cell r="E238">
            <v>12666</v>
          </cell>
          <cell r="F238">
            <v>12666</v>
          </cell>
          <cell r="G238">
            <v>1520</v>
          </cell>
          <cell r="H238">
            <v>1055</v>
          </cell>
          <cell r="I238">
            <v>465</v>
          </cell>
          <cell r="J238">
            <v>0</v>
          </cell>
          <cell r="K238">
            <v>0</v>
          </cell>
          <cell r="L238" t="str">
            <v>U-4</v>
          </cell>
        </row>
        <row r="239">
          <cell r="B239" t="str">
            <v>Parmar Kirit</v>
          </cell>
          <cell r="C239">
            <v>12727</v>
          </cell>
          <cell r="D239">
            <v>12482</v>
          </cell>
          <cell r="E239">
            <v>12482</v>
          </cell>
          <cell r="F239">
            <v>12482</v>
          </cell>
          <cell r="G239">
            <v>1498</v>
          </cell>
          <cell r="H239">
            <v>1040</v>
          </cell>
          <cell r="I239">
            <v>458</v>
          </cell>
          <cell r="J239">
            <v>1</v>
          </cell>
          <cell r="K239">
            <v>0</v>
          </cell>
          <cell r="L239" t="str">
            <v>U-4</v>
          </cell>
        </row>
        <row r="240">
          <cell r="B240" t="str">
            <v xml:space="preserve">Parmar Vijay </v>
          </cell>
          <cell r="C240">
            <v>11259</v>
          </cell>
          <cell r="D240">
            <v>11014</v>
          </cell>
          <cell r="E240">
            <v>11014</v>
          </cell>
          <cell r="F240">
            <v>11014</v>
          </cell>
          <cell r="G240">
            <v>1322</v>
          </cell>
          <cell r="H240">
            <v>917</v>
          </cell>
          <cell r="I240">
            <v>405</v>
          </cell>
          <cell r="J240">
            <v>4</v>
          </cell>
          <cell r="K240">
            <v>0</v>
          </cell>
          <cell r="L240" t="str">
            <v>U-4</v>
          </cell>
        </row>
        <row r="241">
          <cell r="B241" t="str">
            <v>Parmar Kalidas</v>
          </cell>
          <cell r="C241">
            <v>12727</v>
          </cell>
          <cell r="D241">
            <v>12482</v>
          </cell>
          <cell r="E241">
            <v>12482</v>
          </cell>
          <cell r="F241">
            <v>12482</v>
          </cell>
          <cell r="G241">
            <v>1498</v>
          </cell>
          <cell r="H241">
            <v>1040</v>
          </cell>
          <cell r="I241">
            <v>458</v>
          </cell>
          <cell r="J241">
            <v>1</v>
          </cell>
          <cell r="K241">
            <v>0</v>
          </cell>
          <cell r="L241" t="str">
            <v>U-4</v>
          </cell>
        </row>
        <row r="242">
          <cell r="B242" t="str">
            <v xml:space="preserve">Gohil Bhailal </v>
          </cell>
          <cell r="C242">
            <v>11259</v>
          </cell>
          <cell r="D242">
            <v>11014</v>
          </cell>
          <cell r="E242">
            <v>11014</v>
          </cell>
          <cell r="F242">
            <v>11014</v>
          </cell>
          <cell r="G242">
            <v>1322</v>
          </cell>
          <cell r="H242">
            <v>917</v>
          </cell>
          <cell r="I242">
            <v>405</v>
          </cell>
          <cell r="J242">
            <v>4</v>
          </cell>
          <cell r="K242">
            <v>0</v>
          </cell>
          <cell r="L242" t="str">
            <v>U-4</v>
          </cell>
        </row>
        <row r="243">
          <cell r="B243" t="str">
            <v xml:space="preserve">Parmar Indrajit </v>
          </cell>
          <cell r="C243">
            <v>10035</v>
          </cell>
          <cell r="D243">
            <v>10035</v>
          </cell>
          <cell r="E243">
            <v>10035</v>
          </cell>
          <cell r="F243">
            <v>10035</v>
          </cell>
          <cell r="G243">
            <v>1204</v>
          </cell>
          <cell r="H243">
            <v>836</v>
          </cell>
          <cell r="I243">
            <v>368</v>
          </cell>
          <cell r="J243">
            <v>6</v>
          </cell>
          <cell r="K243">
            <v>0</v>
          </cell>
          <cell r="L243" t="str">
            <v>U-4</v>
          </cell>
        </row>
        <row r="244">
          <cell r="B244" t="str">
            <v>Parmar Badhadursinh</v>
          </cell>
          <cell r="C244">
            <v>12238</v>
          </cell>
          <cell r="D244">
            <v>11993</v>
          </cell>
          <cell r="E244">
            <v>11993</v>
          </cell>
          <cell r="F244">
            <v>11993</v>
          </cell>
          <cell r="G244">
            <v>1439</v>
          </cell>
          <cell r="H244">
            <v>999</v>
          </cell>
          <cell r="I244">
            <v>440</v>
          </cell>
          <cell r="J244">
            <v>2</v>
          </cell>
          <cell r="K244">
            <v>0</v>
          </cell>
          <cell r="L244" t="str">
            <v>U-4</v>
          </cell>
        </row>
        <row r="245">
          <cell r="B245" t="str">
            <v>Parmar Jignesh</v>
          </cell>
          <cell r="C245">
            <v>10280</v>
          </cell>
          <cell r="D245">
            <v>10035</v>
          </cell>
          <cell r="E245">
            <v>10035</v>
          </cell>
          <cell r="F245">
            <v>10035</v>
          </cell>
          <cell r="G245">
            <v>1204</v>
          </cell>
          <cell r="H245">
            <v>836</v>
          </cell>
          <cell r="I245">
            <v>368</v>
          </cell>
          <cell r="J245">
            <v>6</v>
          </cell>
          <cell r="K245">
            <v>0</v>
          </cell>
          <cell r="L245" t="str">
            <v>U-4</v>
          </cell>
        </row>
        <row r="246">
          <cell r="B246" t="str">
            <v>Parmar Nilesh</v>
          </cell>
          <cell r="C246">
            <v>12238</v>
          </cell>
          <cell r="D246">
            <v>11993</v>
          </cell>
          <cell r="E246">
            <v>11993</v>
          </cell>
          <cell r="F246">
            <v>11993</v>
          </cell>
          <cell r="G246">
            <v>1439</v>
          </cell>
          <cell r="H246">
            <v>999</v>
          </cell>
          <cell r="I246">
            <v>440</v>
          </cell>
          <cell r="J246">
            <v>2</v>
          </cell>
          <cell r="K246">
            <v>0</v>
          </cell>
          <cell r="L246" t="str">
            <v>U-4</v>
          </cell>
        </row>
        <row r="247">
          <cell r="B247" t="str">
            <v>Parmar Sailesh</v>
          </cell>
          <cell r="C247">
            <v>11259</v>
          </cell>
          <cell r="D247">
            <v>11014</v>
          </cell>
          <cell r="E247">
            <v>11014</v>
          </cell>
          <cell r="F247">
            <v>11014</v>
          </cell>
          <cell r="G247">
            <v>1322</v>
          </cell>
          <cell r="H247">
            <v>917</v>
          </cell>
          <cell r="I247">
            <v>405</v>
          </cell>
          <cell r="J247">
            <v>4</v>
          </cell>
          <cell r="K247">
            <v>0</v>
          </cell>
          <cell r="L247" t="str">
            <v>U-4</v>
          </cell>
        </row>
        <row r="248">
          <cell r="B248" t="str">
            <v>Sindha Ranjeetsing</v>
          </cell>
          <cell r="C248">
            <v>10769</v>
          </cell>
          <cell r="D248">
            <v>10524</v>
          </cell>
          <cell r="E248">
            <v>10524</v>
          </cell>
          <cell r="F248">
            <v>10524</v>
          </cell>
          <cell r="G248">
            <v>1263</v>
          </cell>
          <cell r="H248">
            <v>877</v>
          </cell>
          <cell r="I248">
            <v>386</v>
          </cell>
          <cell r="J248">
            <v>5</v>
          </cell>
          <cell r="K248">
            <v>0</v>
          </cell>
          <cell r="L248" t="str">
            <v>U-4</v>
          </cell>
        </row>
        <row r="249">
          <cell r="B249" t="str">
            <v>Sindha Virendrasing</v>
          </cell>
          <cell r="C249">
            <v>11381</v>
          </cell>
          <cell r="D249">
            <v>11259</v>
          </cell>
          <cell r="E249">
            <v>11259</v>
          </cell>
          <cell r="F249">
            <v>11259</v>
          </cell>
          <cell r="G249">
            <v>1351</v>
          </cell>
          <cell r="H249">
            <v>938</v>
          </cell>
          <cell r="I249">
            <v>413</v>
          </cell>
          <cell r="J249">
            <v>3</v>
          </cell>
          <cell r="K249">
            <v>0</v>
          </cell>
          <cell r="L249" t="str">
            <v>U-4</v>
          </cell>
        </row>
        <row r="250">
          <cell r="B250" t="str">
            <v xml:space="preserve">Garasiya Upendrasinh </v>
          </cell>
          <cell r="C250">
            <v>12238</v>
          </cell>
          <cell r="D250">
            <v>11993</v>
          </cell>
          <cell r="E250">
            <v>11993</v>
          </cell>
          <cell r="F250">
            <v>11993</v>
          </cell>
          <cell r="G250">
            <v>1439</v>
          </cell>
          <cell r="H250">
            <v>999</v>
          </cell>
          <cell r="I250">
            <v>440</v>
          </cell>
          <cell r="J250">
            <v>2</v>
          </cell>
          <cell r="K250">
            <v>0</v>
          </cell>
          <cell r="L250" t="str">
            <v>U-4</v>
          </cell>
        </row>
        <row r="251">
          <cell r="B251" t="str">
            <v xml:space="preserve">Garasiya Virendrasinh </v>
          </cell>
          <cell r="C251">
            <v>12238</v>
          </cell>
          <cell r="D251">
            <v>11993</v>
          </cell>
          <cell r="E251">
            <v>11993</v>
          </cell>
          <cell r="F251">
            <v>11993</v>
          </cell>
          <cell r="G251">
            <v>1439</v>
          </cell>
          <cell r="H251">
            <v>999</v>
          </cell>
          <cell r="I251">
            <v>440</v>
          </cell>
          <cell r="J251">
            <v>2</v>
          </cell>
          <cell r="K251">
            <v>0</v>
          </cell>
          <cell r="L251" t="str">
            <v>U-4</v>
          </cell>
        </row>
        <row r="252">
          <cell r="B252" t="str">
            <v xml:space="preserve">Garasiya Hitesh </v>
          </cell>
          <cell r="C252">
            <v>12238</v>
          </cell>
          <cell r="D252">
            <v>11993</v>
          </cell>
          <cell r="E252">
            <v>11993</v>
          </cell>
          <cell r="F252">
            <v>11993</v>
          </cell>
          <cell r="G252">
            <v>1439</v>
          </cell>
          <cell r="H252">
            <v>999</v>
          </cell>
          <cell r="I252">
            <v>440</v>
          </cell>
          <cell r="J252">
            <v>2</v>
          </cell>
          <cell r="K252">
            <v>0</v>
          </cell>
          <cell r="L252" t="str">
            <v>U-4</v>
          </cell>
        </row>
        <row r="253">
          <cell r="B253" t="str">
            <v xml:space="preserve">Garasiya Narendrasinh </v>
          </cell>
          <cell r="C253">
            <v>12727</v>
          </cell>
          <cell r="D253">
            <v>12482</v>
          </cell>
          <cell r="E253">
            <v>12482</v>
          </cell>
          <cell r="F253">
            <v>12482</v>
          </cell>
          <cell r="G253">
            <v>1498</v>
          </cell>
          <cell r="H253">
            <v>1040</v>
          </cell>
          <cell r="I253">
            <v>458</v>
          </cell>
          <cell r="J253">
            <v>1</v>
          </cell>
          <cell r="K253">
            <v>0</v>
          </cell>
          <cell r="L253" t="str">
            <v>U-4</v>
          </cell>
        </row>
        <row r="254">
          <cell r="B254" t="str">
            <v xml:space="preserve">Chauhan Gunvan </v>
          </cell>
          <cell r="C254">
            <v>10280</v>
          </cell>
          <cell r="D254">
            <v>10035</v>
          </cell>
          <cell r="E254">
            <v>10035</v>
          </cell>
          <cell r="F254">
            <v>10035</v>
          </cell>
          <cell r="G254">
            <v>1204</v>
          </cell>
          <cell r="H254">
            <v>836</v>
          </cell>
          <cell r="I254">
            <v>368</v>
          </cell>
          <cell r="J254">
            <v>6</v>
          </cell>
          <cell r="K254">
            <v>0</v>
          </cell>
          <cell r="L254" t="str">
            <v>U-4</v>
          </cell>
        </row>
        <row r="255">
          <cell r="B255" t="str">
            <v>Padhiyar Vipul</v>
          </cell>
          <cell r="C255">
            <v>10524</v>
          </cell>
          <cell r="D255">
            <v>10524</v>
          </cell>
          <cell r="E255">
            <v>10524</v>
          </cell>
          <cell r="F255">
            <v>10524</v>
          </cell>
          <cell r="G255">
            <v>1263</v>
          </cell>
          <cell r="H255">
            <v>877</v>
          </cell>
          <cell r="I255">
            <v>386</v>
          </cell>
          <cell r="J255">
            <v>5</v>
          </cell>
          <cell r="K255">
            <v>0</v>
          </cell>
          <cell r="L255" t="str">
            <v>U-4</v>
          </cell>
        </row>
        <row r="256">
          <cell r="B256" t="str">
            <v>Garasiya Amitsinh</v>
          </cell>
          <cell r="C256">
            <v>11503</v>
          </cell>
          <cell r="D256">
            <v>11503</v>
          </cell>
          <cell r="E256">
            <v>11503</v>
          </cell>
          <cell r="F256">
            <v>11503</v>
          </cell>
          <cell r="G256">
            <v>1380</v>
          </cell>
          <cell r="H256">
            <v>958</v>
          </cell>
          <cell r="I256">
            <v>422</v>
          </cell>
          <cell r="J256">
            <v>3</v>
          </cell>
          <cell r="K256">
            <v>0</v>
          </cell>
          <cell r="L256" t="str">
            <v>U-4</v>
          </cell>
        </row>
        <row r="257">
          <cell r="B257" t="str">
            <v xml:space="preserve">Jadhav Vinay  </v>
          </cell>
          <cell r="C257">
            <v>11014</v>
          </cell>
          <cell r="D257">
            <v>11014</v>
          </cell>
          <cell r="E257">
            <v>11014</v>
          </cell>
          <cell r="F257">
            <v>11014</v>
          </cell>
          <cell r="G257">
            <v>1322</v>
          </cell>
          <cell r="H257">
            <v>917</v>
          </cell>
          <cell r="I257">
            <v>405</v>
          </cell>
          <cell r="J257">
            <v>4</v>
          </cell>
          <cell r="K257">
            <v>0</v>
          </cell>
          <cell r="L257" t="str">
            <v>U-4</v>
          </cell>
        </row>
        <row r="258">
          <cell r="B258" t="str">
            <v xml:space="preserve">Vaghari Dharmesh </v>
          </cell>
          <cell r="C258">
            <v>12421</v>
          </cell>
          <cell r="D258">
            <v>12421</v>
          </cell>
          <cell r="E258">
            <v>12421</v>
          </cell>
          <cell r="F258">
            <v>12421</v>
          </cell>
          <cell r="G258">
            <v>1491</v>
          </cell>
          <cell r="H258">
            <v>1035</v>
          </cell>
          <cell r="I258">
            <v>456</v>
          </cell>
          <cell r="J258">
            <v>1</v>
          </cell>
          <cell r="K258">
            <v>0</v>
          </cell>
          <cell r="L258" t="str">
            <v>U-4</v>
          </cell>
        </row>
        <row r="259">
          <cell r="B259" t="str">
            <v xml:space="preserve">Mali Vipul </v>
          </cell>
          <cell r="C259">
            <v>11932</v>
          </cell>
          <cell r="D259">
            <v>11748</v>
          </cell>
          <cell r="E259">
            <v>11748</v>
          </cell>
          <cell r="F259">
            <v>11748</v>
          </cell>
          <cell r="G259">
            <v>1410</v>
          </cell>
          <cell r="H259">
            <v>979</v>
          </cell>
          <cell r="I259">
            <v>431</v>
          </cell>
          <cell r="J259">
            <v>2</v>
          </cell>
          <cell r="K259">
            <v>0</v>
          </cell>
          <cell r="L259" t="str">
            <v>U-4</v>
          </cell>
        </row>
        <row r="260">
          <cell r="B260" t="str">
            <v>Sindha Vanraj</v>
          </cell>
          <cell r="C260">
            <v>11993</v>
          </cell>
          <cell r="D260">
            <v>11748</v>
          </cell>
          <cell r="E260">
            <v>11748</v>
          </cell>
          <cell r="F260">
            <v>11748</v>
          </cell>
          <cell r="G260">
            <v>1410</v>
          </cell>
          <cell r="H260">
            <v>979</v>
          </cell>
          <cell r="I260">
            <v>431</v>
          </cell>
          <cell r="J260">
            <v>2</v>
          </cell>
          <cell r="K260">
            <v>0</v>
          </cell>
          <cell r="L260" t="str">
            <v>U-4</v>
          </cell>
        </row>
        <row r="261">
          <cell r="B261" t="str">
            <v xml:space="preserve">Padhiyar Yogesh </v>
          </cell>
          <cell r="C261">
            <v>10035</v>
          </cell>
          <cell r="D261">
            <v>9790</v>
          </cell>
          <cell r="E261">
            <v>9790</v>
          </cell>
          <cell r="F261">
            <v>9790</v>
          </cell>
          <cell r="G261">
            <v>1175</v>
          </cell>
          <cell r="H261">
            <v>816</v>
          </cell>
          <cell r="I261">
            <v>359</v>
          </cell>
          <cell r="J261">
            <v>6</v>
          </cell>
          <cell r="K261">
            <v>0</v>
          </cell>
          <cell r="L261" t="str">
            <v>U-4</v>
          </cell>
        </row>
        <row r="262">
          <cell r="B262" t="str">
            <v xml:space="preserve">Padhiayr Ganshyam </v>
          </cell>
          <cell r="C262">
            <v>11503</v>
          </cell>
          <cell r="D262">
            <v>11259</v>
          </cell>
          <cell r="E262">
            <v>11259</v>
          </cell>
          <cell r="F262">
            <v>11259</v>
          </cell>
          <cell r="G262">
            <v>1351</v>
          </cell>
          <cell r="H262">
            <v>938</v>
          </cell>
          <cell r="I262">
            <v>413</v>
          </cell>
          <cell r="J262">
            <v>3</v>
          </cell>
          <cell r="K262">
            <v>0</v>
          </cell>
          <cell r="L262" t="str">
            <v>U-4</v>
          </cell>
        </row>
        <row r="263">
          <cell r="B263" t="str">
            <v xml:space="preserve">Nehal R Makhwana </v>
          </cell>
          <cell r="C263">
            <v>4895</v>
          </cell>
          <cell r="D263">
            <v>4650</v>
          </cell>
          <cell r="E263">
            <v>4650</v>
          </cell>
          <cell r="F263">
            <v>4650</v>
          </cell>
          <cell r="G263">
            <v>558</v>
          </cell>
          <cell r="H263">
            <v>387</v>
          </cell>
          <cell r="I263">
            <v>171</v>
          </cell>
          <cell r="J263">
            <v>17</v>
          </cell>
          <cell r="K263">
            <v>0</v>
          </cell>
          <cell r="L263" t="str">
            <v>U-4</v>
          </cell>
        </row>
        <row r="264">
          <cell r="B264" t="str">
            <v xml:space="preserve">OM Chauhan </v>
          </cell>
          <cell r="C264">
            <v>11381</v>
          </cell>
          <cell r="D264">
            <v>11259</v>
          </cell>
          <cell r="E264">
            <v>11259</v>
          </cell>
          <cell r="F264">
            <v>11259</v>
          </cell>
          <cell r="G264">
            <v>1351</v>
          </cell>
          <cell r="H264">
            <v>938</v>
          </cell>
          <cell r="I264">
            <v>413</v>
          </cell>
          <cell r="J264">
            <v>3</v>
          </cell>
          <cell r="K264">
            <v>0</v>
          </cell>
          <cell r="L264" t="str">
            <v>U-4</v>
          </cell>
        </row>
        <row r="265">
          <cell r="B265" t="str">
            <v>Jayesh Parmar</v>
          </cell>
          <cell r="C265">
            <v>12727</v>
          </cell>
          <cell r="D265">
            <v>12482</v>
          </cell>
          <cell r="E265">
            <v>12482</v>
          </cell>
          <cell r="F265">
            <v>12482</v>
          </cell>
          <cell r="G265">
            <v>1498</v>
          </cell>
          <cell r="H265">
            <v>1040</v>
          </cell>
          <cell r="I265">
            <v>458</v>
          </cell>
          <cell r="J265">
            <v>1</v>
          </cell>
          <cell r="K265">
            <v>0</v>
          </cell>
          <cell r="L265" t="str">
            <v>U-4</v>
          </cell>
        </row>
        <row r="266">
          <cell r="B266" t="str">
            <v xml:space="preserve">Mali Mukesh </v>
          </cell>
          <cell r="C266">
            <v>11197</v>
          </cell>
          <cell r="D266">
            <v>11197</v>
          </cell>
          <cell r="E266">
            <v>11197</v>
          </cell>
          <cell r="F266">
            <v>11197</v>
          </cell>
          <cell r="G266">
            <v>1344</v>
          </cell>
          <cell r="H266">
            <v>933</v>
          </cell>
          <cell r="I266">
            <v>411</v>
          </cell>
          <cell r="J266">
            <v>3</v>
          </cell>
          <cell r="K266">
            <v>0</v>
          </cell>
          <cell r="L266" t="str">
            <v>U-4</v>
          </cell>
        </row>
        <row r="267">
          <cell r="B267" t="str">
            <v>Nikunj Padhiyar</v>
          </cell>
          <cell r="C267">
            <v>11136</v>
          </cell>
          <cell r="D267">
            <v>11136</v>
          </cell>
          <cell r="E267">
            <v>11136</v>
          </cell>
          <cell r="F267">
            <v>11136</v>
          </cell>
          <cell r="G267">
            <v>1336</v>
          </cell>
          <cell r="H267">
            <v>928</v>
          </cell>
          <cell r="I267">
            <v>408</v>
          </cell>
          <cell r="J267">
            <v>3</v>
          </cell>
          <cell r="K267">
            <v>0</v>
          </cell>
          <cell r="L267" t="str">
            <v>U-4</v>
          </cell>
        </row>
        <row r="268">
          <cell r="B268" t="str">
            <v xml:space="preserve">Sanjay Mali </v>
          </cell>
          <cell r="C268">
            <v>12176</v>
          </cell>
          <cell r="D268">
            <v>12176</v>
          </cell>
          <cell r="E268">
            <v>12176</v>
          </cell>
          <cell r="F268">
            <v>12176</v>
          </cell>
          <cell r="G268">
            <v>1461</v>
          </cell>
          <cell r="H268">
            <v>1014</v>
          </cell>
          <cell r="I268">
            <v>447</v>
          </cell>
          <cell r="J268">
            <v>1</v>
          </cell>
          <cell r="K268">
            <v>0</v>
          </cell>
          <cell r="L268" t="str">
            <v>U-4</v>
          </cell>
        </row>
        <row r="269">
          <cell r="B269" t="str">
            <v xml:space="preserve">Govind Mali </v>
          </cell>
          <cell r="C269">
            <v>11748</v>
          </cell>
          <cell r="D269">
            <v>11748</v>
          </cell>
          <cell r="E269">
            <v>11748</v>
          </cell>
          <cell r="F269">
            <v>11748</v>
          </cell>
          <cell r="G269">
            <v>1410</v>
          </cell>
          <cell r="H269">
            <v>979</v>
          </cell>
          <cell r="I269">
            <v>431</v>
          </cell>
          <cell r="J269">
            <v>2</v>
          </cell>
          <cell r="K269">
            <v>0</v>
          </cell>
          <cell r="L269" t="str">
            <v>U-4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P"/>
    </sheetNames>
    <sheetDataSet>
      <sheetData sheetId="0" refreshError="1">
        <row r="1">
          <cell r="E1">
            <v>0</v>
          </cell>
          <cell r="F1">
            <v>0</v>
          </cell>
          <cell r="G1">
            <v>0</v>
          </cell>
          <cell r="H1">
            <v>0</v>
          </cell>
        </row>
        <row r="2">
          <cell r="E2" t="str">
            <v>VIJAYBHAI HARMANBHAI JADAV</v>
          </cell>
          <cell r="F2">
            <v>8980948339</v>
          </cell>
          <cell r="G2">
            <v>31420100004981</v>
          </cell>
          <cell r="H2" t="str">
            <v>BARB0BGGBXX</v>
          </cell>
        </row>
        <row r="3">
          <cell r="E3" t="str">
            <v>MARATHA NANUNATH DAVALNATH</v>
          </cell>
          <cell r="F3">
            <v>9879443165</v>
          </cell>
          <cell r="G3">
            <v>41539051639</v>
          </cell>
          <cell r="H3" t="str">
            <v>SBIN0001333</v>
          </cell>
        </row>
        <row r="4">
          <cell r="E4" t="str">
            <v>ROHIT TUSHARBHAI CHANDUBHAI</v>
          </cell>
          <cell r="F4">
            <v>7863005272</v>
          </cell>
          <cell r="G4">
            <v>41539052565</v>
          </cell>
          <cell r="H4" t="str">
            <v>SBIN0061512</v>
          </cell>
        </row>
        <row r="5">
          <cell r="E5" t="str">
            <v>PARMAR RAJENDRABHAI DAHYABHAI</v>
          </cell>
          <cell r="F5">
            <v>9662633570</v>
          </cell>
          <cell r="G5">
            <v>37128515491</v>
          </cell>
          <cell r="H5" t="str">
            <v>SBIN0000442</v>
          </cell>
        </row>
        <row r="6">
          <cell r="E6" t="str">
            <v>MALI RAHULBHAI VINODBHAI</v>
          </cell>
          <cell r="F6">
            <v>6316740390</v>
          </cell>
          <cell r="G6">
            <v>41337649888</v>
          </cell>
          <cell r="H6" t="str">
            <v>SBIN0032681</v>
          </cell>
        </row>
        <row r="7">
          <cell r="E7" t="str">
            <v>PARMAR AJAYKUMAR ARVINDBHAI</v>
          </cell>
          <cell r="F7">
            <v>8733825023</v>
          </cell>
          <cell r="G7">
            <v>41058435258</v>
          </cell>
          <cell r="H7" t="str">
            <v>SBIN0061512</v>
          </cell>
        </row>
        <row r="8">
          <cell r="E8" t="str">
            <v>MAHESHBHAI MAFATBHAI RAVAL</v>
          </cell>
          <cell r="F8">
            <v>8758210644</v>
          </cell>
          <cell r="G8">
            <v>41542677435</v>
          </cell>
          <cell r="H8" t="str">
            <v>SBIN0061512</v>
          </cell>
        </row>
        <row r="9">
          <cell r="E9" t="str">
            <v>ALTAF BASIR MALEK</v>
          </cell>
          <cell r="F9">
            <v>8780341204</v>
          </cell>
          <cell r="G9">
            <v>42299973500</v>
          </cell>
          <cell r="H9" t="str">
            <v>SBIN0061512</v>
          </cell>
        </row>
        <row r="10">
          <cell r="E10" t="str">
            <v>NIRAJKUMAR CHIMANBHAI JADAV</v>
          </cell>
          <cell r="F10">
            <v>9724842976</v>
          </cell>
          <cell r="G10">
            <v>42601815272</v>
          </cell>
          <cell r="H10" t="str">
            <v>SBIN0061512</v>
          </cell>
        </row>
        <row r="11">
          <cell r="E11" t="str">
            <v>Parmar Chatrasnih Raysingbhai</v>
          </cell>
          <cell r="F11">
            <v>9558776120</v>
          </cell>
          <cell r="G11">
            <v>33292493280</v>
          </cell>
          <cell r="H11" t="str">
            <v>SBIN0000442</v>
          </cell>
        </row>
        <row r="12">
          <cell r="E12" t="str">
            <v>Sagarbhai Pareshbhai Rathodiya</v>
          </cell>
          <cell r="F12">
            <v>8238620173</v>
          </cell>
          <cell r="G12">
            <v>43166947850</v>
          </cell>
          <cell r="H12" t="str">
            <v>SBIN0061512</v>
          </cell>
        </row>
        <row r="13">
          <cell r="E13" t="str">
            <v>VASAVA ARJUN KALIDAS</v>
          </cell>
          <cell r="F13">
            <v>7698558965</v>
          </cell>
          <cell r="G13">
            <v>43166947475</v>
          </cell>
          <cell r="H13" t="str">
            <v>SBIN0061512</v>
          </cell>
        </row>
        <row r="14">
          <cell r="E14" t="str">
            <v>RAVAL DAXSESHBHAI BHAILALBHAI</v>
          </cell>
          <cell r="F14">
            <v>9023728808</v>
          </cell>
          <cell r="G14">
            <v>41352826600</v>
          </cell>
          <cell r="H14" t="str">
            <v>SBIN0032681</v>
          </cell>
        </row>
        <row r="15">
          <cell r="E15" t="str">
            <v>PARMAR SANJAYSINH ARJUNSINH</v>
          </cell>
          <cell r="F15">
            <v>9662395495</v>
          </cell>
          <cell r="G15">
            <v>41648855310</v>
          </cell>
          <cell r="H15" t="str">
            <v>SBIN0008342</v>
          </cell>
        </row>
        <row r="16">
          <cell r="E16" t="str">
            <v>Divan Mayudinsha</v>
          </cell>
          <cell r="F16">
            <v>7600142311</v>
          </cell>
          <cell r="G16" t="str">
            <v>34528243238</v>
          </cell>
          <cell r="H16" t="str">
            <v>SBIN0002683</v>
          </cell>
        </row>
        <row r="17">
          <cell r="E17" t="str">
            <v>Deshraj Raja Ram</v>
          </cell>
          <cell r="F17">
            <v>9898431516</v>
          </cell>
          <cell r="G17" t="str">
            <v>464802010064401</v>
          </cell>
          <cell r="H17" t="str">
            <v>UBIN0546488</v>
          </cell>
        </row>
        <row r="18">
          <cell r="E18" t="str">
            <v>Satyam Babulal</v>
          </cell>
          <cell r="F18">
            <v>9898431516</v>
          </cell>
          <cell r="G18" t="str">
            <v>50100709166502</v>
          </cell>
          <cell r="H18" t="str">
            <v>HDFC0000033</v>
          </cell>
        </row>
        <row r="19">
          <cell r="E19" t="str">
            <v>Ravindra Kumar Ram Sajivan</v>
          </cell>
          <cell r="F19">
            <v>9898431516</v>
          </cell>
          <cell r="G19" t="str">
            <v>50100688450082</v>
          </cell>
          <cell r="H19" t="str">
            <v>HDFC0000033</v>
          </cell>
        </row>
        <row r="20">
          <cell r="E20" t="str">
            <v>Vijay Kumar Sohan Lal</v>
          </cell>
          <cell r="F20">
            <v>9898431516</v>
          </cell>
          <cell r="G20">
            <v>673302120000141</v>
          </cell>
          <cell r="H20" t="str">
            <v>UBIN0567337</v>
          </cell>
        </row>
        <row r="21">
          <cell r="E21" t="str">
            <v>Dhanraj Mohan lal</v>
          </cell>
          <cell r="F21">
            <v>9898431516</v>
          </cell>
          <cell r="G21" t="str">
            <v>50100763329860</v>
          </cell>
          <cell r="H21" t="str">
            <v>HDFC0000033</v>
          </cell>
        </row>
        <row r="22">
          <cell r="E22" t="str">
            <v>Govindlal Ramkishor</v>
          </cell>
          <cell r="F22">
            <v>9898431516</v>
          </cell>
          <cell r="G22" t="str">
            <v>50100643277691</v>
          </cell>
          <cell r="H22" t="str">
            <v>HDFC0000033</v>
          </cell>
        </row>
        <row r="23">
          <cell r="E23" t="str">
            <v>Rohit kumar Satrohan</v>
          </cell>
          <cell r="F23">
            <v>9898431516</v>
          </cell>
          <cell r="G23" t="str">
            <v>1958200100004004</v>
          </cell>
          <cell r="H23" t="str">
            <v>PUNB0195820</v>
          </cell>
        </row>
        <row r="24">
          <cell r="E24" t="str">
            <v>Amit Balram</v>
          </cell>
          <cell r="F24">
            <v>9898431516</v>
          </cell>
          <cell r="G24" t="str">
            <v>50100779415456</v>
          </cell>
          <cell r="H24" t="str">
            <v>HDFC0000033</v>
          </cell>
        </row>
        <row r="25">
          <cell r="E25" t="str">
            <v>Ranjan lal Chandrapal</v>
          </cell>
          <cell r="F25">
            <v>9898431516</v>
          </cell>
          <cell r="G25" t="str">
            <v>50100779415472</v>
          </cell>
          <cell r="H25" t="str">
            <v>HDFC0000033</v>
          </cell>
        </row>
        <row r="26">
          <cell r="E26" t="str">
            <v>Shiv Kumar Sohan lal</v>
          </cell>
          <cell r="F26">
            <v>9898431516</v>
          </cell>
          <cell r="G26">
            <v>464802010064415</v>
          </cell>
          <cell r="H26" t="str">
            <v>UBIN0546488</v>
          </cell>
        </row>
        <row r="27">
          <cell r="E27" t="str">
            <v>Shyam Baburam</v>
          </cell>
          <cell r="F27">
            <v>9898431516</v>
          </cell>
          <cell r="G27">
            <v>673302010002738</v>
          </cell>
          <cell r="H27" t="str">
            <v>UBIN0567337</v>
          </cell>
        </row>
        <row r="28">
          <cell r="E28" t="str">
            <v>Bansu Bahadur Shripal</v>
          </cell>
          <cell r="F28">
            <v>9898431516</v>
          </cell>
          <cell r="G28">
            <v>673302120000163</v>
          </cell>
          <cell r="H28" t="str">
            <v>UBIN0567337</v>
          </cell>
        </row>
        <row r="29">
          <cell r="E29" t="str">
            <v>Gautam Shukhraj</v>
          </cell>
          <cell r="F29">
            <v>9898431516</v>
          </cell>
          <cell r="G29" t="str">
            <v>50100779415495</v>
          </cell>
          <cell r="H29" t="str">
            <v>HDFC0000033</v>
          </cell>
        </row>
        <row r="30">
          <cell r="E30" t="str">
            <v>Ram Adesh Ram Lakhan</v>
          </cell>
          <cell r="F30">
            <v>9898431516</v>
          </cell>
          <cell r="G30" t="str">
            <v>50100643279603</v>
          </cell>
          <cell r="H30" t="str">
            <v>HDFC0000033</v>
          </cell>
        </row>
        <row r="31">
          <cell r="E31" t="str">
            <v>Sanjay Ram sajivan</v>
          </cell>
          <cell r="F31">
            <v>9898431516</v>
          </cell>
          <cell r="G31" t="str">
            <v>673302120000157</v>
          </cell>
          <cell r="H31" t="str">
            <v>UBIN0567337</v>
          </cell>
        </row>
        <row r="32">
          <cell r="E32" t="str">
            <v>Rakesh pal Babulal Pal</v>
          </cell>
          <cell r="F32">
            <v>9898431516</v>
          </cell>
          <cell r="G32" t="str">
            <v>673302120000182</v>
          </cell>
          <cell r="H32" t="str">
            <v>UBIN0567337</v>
          </cell>
        </row>
        <row r="33">
          <cell r="E33" t="str">
            <v>Chetan Sureshbhai Gohel</v>
          </cell>
          <cell r="F33">
            <v>9898431516</v>
          </cell>
          <cell r="G33">
            <v>44160747698</v>
          </cell>
          <cell r="H33" t="str">
            <v>SBIN0018086</v>
          </cell>
        </row>
        <row r="34">
          <cell r="E34" t="str">
            <v>Virendrabhai Maheshbhai Solanki</v>
          </cell>
          <cell r="F34">
            <v>9898431516</v>
          </cell>
          <cell r="G34">
            <v>40270586029</v>
          </cell>
          <cell r="H34" t="str">
            <v>SBIN0030158</v>
          </cell>
        </row>
        <row r="35">
          <cell r="E35" t="str">
            <v>Harshdakumar Thakorbhai Parmar</v>
          </cell>
          <cell r="F35">
            <v>9898431516</v>
          </cell>
          <cell r="G35" t="str">
            <v>50100643277702</v>
          </cell>
          <cell r="H35" t="str">
            <v>HDFC0000033</v>
          </cell>
        </row>
        <row r="36">
          <cell r="E36" t="str">
            <v>Neel Brijeshbhai Rajput</v>
          </cell>
          <cell r="F36">
            <v>9898431516</v>
          </cell>
          <cell r="G36" t="str">
            <v>50100734222983</v>
          </cell>
          <cell r="H36" t="str">
            <v>HDFC0000033</v>
          </cell>
        </row>
        <row r="37">
          <cell r="E37" t="str">
            <v>Sandeep Kumar Balram Kashyap</v>
          </cell>
          <cell r="F37">
            <v>9898431516</v>
          </cell>
          <cell r="G37" t="str">
            <v>50100735972697</v>
          </cell>
          <cell r="H37" t="str">
            <v>HDFC0000033</v>
          </cell>
        </row>
        <row r="38">
          <cell r="E38" t="str">
            <v>Parmar Ketanbhai Jivabhai</v>
          </cell>
          <cell r="F38">
            <v>9898431516</v>
          </cell>
          <cell r="G38" t="str">
            <v>03020100012533</v>
          </cell>
          <cell r="H38" t="str">
            <v>BARB0BHAKAI</v>
          </cell>
        </row>
        <row r="39">
          <cell r="E39" t="str">
            <v>Dharmendrasinh Balvantsinh Sindha</v>
          </cell>
          <cell r="F39">
            <v>9898431516</v>
          </cell>
          <cell r="G39" t="str">
            <v>03020100014739</v>
          </cell>
          <cell r="H39" t="str">
            <v>BARB0BHAKAI</v>
          </cell>
        </row>
        <row r="40">
          <cell r="E40" t="str">
            <v>Chudasama Vipulkumar Mahipatsinh</v>
          </cell>
          <cell r="F40">
            <v>9898431516</v>
          </cell>
          <cell r="G40" t="str">
            <v>03048100003658</v>
          </cell>
          <cell r="H40" t="str">
            <v>BARB0DHUVAR</v>
          </cell>
        </row>
        <row r="41">
          <cell r="E41" t="str">
            <v>Sachin Ramsumer Patel</v>
          </cell>
          <cell r="F41">
            <v>9898431516</v>
          </cell>
          <cell r="G41" t="str">
            <v>50100643279668</v>
          </cell>
          <cell r="H41" t="str">
            <v>HDFC0000033</v>
          </cell>
        </row>
        <row r="42">
          <cell r="E42" t="str">
            <v>RAMU BABU LAL</v>
          </cell>
          <cell r="F42">
            <v>9898431516</v>
          </cell>
          <cell r="G42" t="str">
            <v>673302010004541</v>
          </cell>
          <cell r="H42" t="str">
            <v>UBIN0567337</v>
          </cell>
        </row>
        <row r="43">
          <cell r="E43" t="str">
            <v>Arpit Gaur Shyam Sundar</v>
          </cell>
          <cell r="F43">
            <v>9898431516</v>
          </cell>
          <cell r="G43" t="str">
            <v>50100728099774</v>
          </cell>
          <cell r="H43" t="str">
            <v>HDFC0000033</v>
          </cell>
        </row>
        <row r="44">
          <cell r="E44" t="str">
            <v>Hari Pal Ramkumar</v>
          </cell>
          <cell r="F44">
            <v>9898431516</v>
          </cell>
          <cell r="G44" t="str">
            <v>50100763332854</v>
          </cell>
          <cell r="H44" t="str">
            <v>HDFC0000033</v>
          </cell>
        </row>
        <row r="45">
          <cell r="E45" t="str">
            <v>Karan Ramkali</v>
          </cell>
          <cell r="F45">
            <v>9898431516</v>
          </cell>
          <cell r="G45" t="str">
            <v>50100779411852</v>
          </cell>
          <cell r="H45" t="str">
            <v>HDFC0000033</v>
          </cell>
        </row>
        <row r="46">
          <cell r="E46" t="str">
            <v>Pintu Dharmesh Saroj</v>
          </cell>
          <cell r="F46">
            <v>9898431516</v>
          </cell>
          <cell r="G46" t="str">
            <v>50100643277741</v>
          </cell>
          <cell r="H46" t="str">
            <v>HDFC0000033</v>
          </cell>
        </row>
        <row r="47">
          <cell r="E47" t="str">
            <v>Deepak kumar Ram sumer</v>
          </cell>
          <cell r="F47">
            <v>9898431516</v>
          </cell>
          <cell r="G47" t="str">
            <v>50100779414835</v>
          </cell>
          <cell r="H47" t="str">
            <v>HDFC0000033</v>
          </cell>
        </row>
        <row r="48">
          <cell r="E48" t="str">
            <v>Vasudev Ramdayal Saroj</v>
          </cell>
          <cell r="F48">
            <v>9898431516</v>
          </cell>
          <cell r="G48" t="str">
            <v>50100643277712</v>
          </cell>
          <cell r="H48" t="str">
            <v>HDFC0000033</v>
          </cell>
        </row>
        <row r="49">
          <cell r="E49" t="str">
            <v>Rohit Kumar Pancham</v>
          </cell>
          <cell r="F49">
            <v>9898431516</v>
          </cell>
          <cell r="G49" t="str">
            <v>50100643279020</v>
          </cell>
          <cell r="H49" t="str">
            <v>HDFC0000033</v>
          </cell>
        </row>
        <row r="50">
          <cell r="E50" t="str">
            <v>Mohan Lal Angan Lal</v>
          </cell>
          <cell r="F50">
            <v>9898431516</v>
          </cell>
          <cell r="G50" t="str">
            <v>28193211013631</v>
          </cell>
          <cell r="H50" t="str">
            <v>UCBA0002819</v>
          </cell>
        </row>
        <row r="51">
          <cell r="E51" t="str">
            <v>Ramji Nankau</v>
          </cell>
          <cell r="F51">
            <v>9898431516</v>
          </cell>
          <cell r="G51" t="str">
            <v>50100742420127</v>
          </cell>
          <cell r="H51" t="str">
            <v>HDFC0000033</v>
          </cell>
        </row>
        <row r="52">
          <cell r="E52" t="str">
            <v>ARVIND KUMAR DHARMESH</v>
          </cell>
          <cell r="F52">
            <v>9898431516</v>
          </cell>
          <cell r="G52">
            <v>673302010003156</v>
          </cell>
          <cell r="H52" t="str">
            <v>UBIN0567337</v>
          </cell>
        </row>
        <row r="53">
          <cell r="E53" t="str">
            <v>Kamal Kishor Rajaram</v>
          </cell>
          <cell r="F53">
            <v>9898431516</v>
          </cell>
          <cell r="G53">
            <v>673302010002721</v>
          </cell>
          <cell r="H53" t="str">
            <v>UBIN0567337</v>
          </cell>
        </row>
        <row r="54">
          <cell r="E54" t="str">
            <v>Vishram Kallu Prasad</v>
          </cell>
          <cell r="F54">
            <v>9898431516</v>
          </cell>
          <cell r="G54">
            <v>673302010003154</v>
          </cell>
          <cell r="H54" t="str">
            <v>UBIN0567337</v>
          </cell>
        </row>
        <row r="55">
          <cell r="E55" t="str">
            <v>Ashutosh Dharmesh Saroj</v>
          </cell>
          <cell r="F55">
            <v>9898431516</v>
          </cell>
          <cell r="G55">
            <v>647702010003097</v>
          </cell>
          <cell r="H55" t="str">
            <v>UBIN0564770</v>
          </cell>
        </row>
        <row r="56">
          <cell r="E56" t="str">
            <v>Ritesh Deshraj</v>
          </cell>
          <cell r="F56">
            <v>9898431516</v>
          </cell>
          <cell r="G56" t="str">
            <v>693902010007301</v>
          </cell>
          <cell r="H56" t="str">
            <v>UBIN0569399</v>
          </cell>
        </row>
        <row r="57">
          <cell r="E57" t="str">
            <v>HEMRAJ ASHRAM</v>
          </cell>
          <cell r="F57">
            <v>9898431516</v>
          </cell>
          <cell r="G57">
            <v>647702010005833</v>
          </cell>
          <cell r="H57" t="str">
            <v>UBIN0564770</v>
          </cell>
        </row>
        <row r="58">
          <cell r="E58" t="str">
            <v>Vinay Kumar Kalishankar</v>
          </cell>
          <cell r="F58">
            <v>9898431516</v>
          </cell>
          <cell r="G58" t="str">
            <v>50100643280096</v>
          </cell>
          <cell r="H58" t="str">
            <v>HDFC0000033</v>
          </cell>
        </row>
        <row r="59">
          <cell r="E59" t="str">
            <v>Sushil JagdishPrasad Yadav</v>
          </cell>
          <cell r="F59">
            <v>9898431516</v>
          </cell>
          <cell r="G59">
            <v>673302010002710</v>
          </cell>
          <cell r="H59" t="str">
            <v>UBIN0567337</v>
          </cell>
        </row>
        <row r="60">
          <cell r="E60" t="str">
            <v>Dashrath Prasad Yadav</v>
          </cell>
          <cell r="F60">
            <v>9898431516</v>
          </cell>
          <cell r="G60">
            <v>673302010002698</v>
          </cell>
          <cell r="H60" t="str">
            <v>UBIN0567337</v>
          </cell>
        </row>
        <row r="61">
          <cell r="E61" t="str">
            <v>Sandeep Kumar Basudev</v>
          </cell>
          <cell r="F61">
            <v>9898431516</v>
          </cell>
          <cell r="G61" t="str">
            <v>50100643279017</v>
          </cell>
          <cell r="H61" t="str">
            <v>HDFC0000033</v>
          </cell>
        </row>
        <row r="62">
          <cell r="E62" t="str">
            <v>Raj Bahadur Soorjdin Yadav</v>
          </cell>
          <cell r="F62">
            <v>9898431516</v>
          </cell>
          <cell r="G62">
            <v>673302010002722</v>
          </cell>
          <cell r="H62" t="str">
            <v>UBIN0567337</v>
          </cell>
        </row>
        <row r="63">
          <cell r="E63" t="str">
            <v>Sanjay Kumar Chote lal</v>
          </cell>
          <cell r="F63">
            <v>9898431516</v>
          </cell>
          <cell r="G63">
            <v>647702010005840</v>
          </cell>
          <cell r="H63" t="str">
            <v>UBIN0564770</v>
          </cell>
        </row>
        <row r="64">
          <cell r="E64" t="str">
            <v>Vinod rakesh saroj</v>
          </cell>
          <cell r="F64">
            <v>9898431516</v>
          </cell>
          <cell r="G64" t="str">
            <v>647702010002526</v>
          </cell>
          <cell r="H64" t="str">
            <v>UBIN0564770</v>
          </cell>
        </row>
        <row r="65">
          <cell r="E65" t="str">
            <v>Shiv Milan Vishwakarma</v>
          </cell>
          <cell r="F65">
            <v>9898431516</v>
          </cell>
          <cell r="G65" t="str">
            <v>647702010006556</v>
          </cell>
          <cell r="H65" t="str">
            <v>UBIN0564770</v>
          </cell>
        </row>
        <row r="66">
          <cell r="E66" t="str">
            <v>Sonu Raju</v>
          </cell>
          <cell r="F66">
            <v>9898431516</v>
          </cell>
          <cell r="G66">
            <v>647702010006555</v>
          </cell>
          <cell r="H66" t="str">
            <v>UBIN0564770</v>
          </cell>
        </row>
        <row r="67">
          <cell r="E67" t="str">
            <v>Ram Roop Chedilal</v>
          </cell>
          <cell r="F67">
            <v>9898431516</v>
          </cell>
          <cell r="G67" t="str">
            <v>673302010003023</v>
          </cell>
          <cell r="H67" t="str">
            <v>UBIN0564770</v>
          </cell>
        </row>
        <row r="68">
          <cell r="E68" t="str">
            <v>Neelesh Deshraj Yadav</v>
          </cell>
          <cell r="F68">
            <v>9898431516</v>
          </cell>
          <cell r="G68" t="str">
            <v>647702010006415</v>
          </cell>
          <cell r="H68" t="str">
            <v>UBIN0564770</v>
          </cell>
        </row>
        <row r="69">
          <cell r="E69" t="str">
            <v>Vinod kumar Yamuna Prasad Yadav</v>
          </cell>
          <cell r="F69">
            <v>9898431516</v>
          </cell>
          <cell r="G69">
            <v>50100779411954</v>
          </cell>
          <cell r="H69" t="str">
            <v>HDFC0000033</v>
          </cell>
        </row>
        <row r="70">
          <cell r="E70" t="str">
            <v>Prem Kumar Ram Naresh</v>
          </cell>
          <cell r="F70">
            <v>9898431516</v>
          </cell>
          <cell r="G70" t="str">
            <v>40800100003516</v>
          </cell>
          <cell r="H70" t="str">
            <v>BARB0LODHWA</v>
          </cell>
        </row>
        <row r="71">
          <cell r="E71" t="str">
            <v>Rahulkumar Suresh Kumar</v>
          </cell>
          <cell r="F71">
            <v>9898431516</v>
          </cell>
          <cell r="G71">
            <v>647702010005843</v>
          </cell>
          <cell r="H71" t="str">
            <v>UBIN0564770</v>
          </cell>
        </row>
        <row r="72">
          <cell r="E72" t="str">
            <v>Vimal kumar Bhauro Prasad</v>
          </cell>
          <cell r="F72">
            <v>9898431516</v>
          </cell>
          <cell r="G72">
            <v>647702010005847</v>
          </cell>
          <cell r="H72" t="str">
            <v>UBIN0564770</v>
          </cell>
        </row>
        <row r="73">
          <cell r="E73" t="str">
            <v>Jayesh Ranjitsinh Padhiyar</v>
          </cell>
          <cell r="F73">
            <v>9898431516</v>
          </cell>
          <cell r="G73">
            <v>65292100202</v>
          </cell>
          <cell r="H73" t="str">
            <v>SBIN0032681</v>
          </cell>
        </row>
        <row r="74">
          <cell r="E74" t="str">
            <v>Vinay Kumar Gaya ram</v>
          </cell>
          <cell r="F74">
            <v>9898431516</v>
          </cell>
          <cell r="G74">
            <v>50100839060570</v>
          </cell>
          <cell r="H74" t="str">
            <v>HDFC0000033</v>
          </cell>
        </row>
        <row r="75">
          <cell r="E75" t="str">
            <v>Sahilbhai Dilipbhai Waghela</v>
          </cell>
          <cell r="F75">
            <v>9898431516</v>
          </cell>
          <cell r="G75">
            <v>55830100004151</v>
          </cell>
          <cell r="H75" t="str">
            <v>BARB0AMBADA</v>
          </cell>
        </row>
        <row r="76">
          <cell r="E76" t="str">
            <v>Sudarshan Anil</v>
          </cell>
          <cell r="F76">
            <v>9898431516</v>
          </cell>
          <cell r="G76">
            <v>44604252151</v>
          </cell>
          <cell r="H76" t="str">
            <v>SBIN0061512</v>
          </cell>
        </row>
        <row r="77">
          <cell r="E77" t="str">
            <v>Rinku Paswan Angan</v>
          </cell>
          <cell r="F77">
            <v>9898431516</v>
          </cell>
          <cell r="G77">
            <v>58810100005307</v>
          </cell>
          <cell r="H77" t="str">
            <v>BARB0BUPGBX</v>
          </cell>
        </row>
        <row r="78">
          <cell r="E78" t="str">
            <v>Jadav Kamleshbhai Hamirsinh</v>
          </cell>
          <cell r="F78">
            <v>9898431516</v>
          </cell>
          <cell r="G78">
            <v>42600803403</v>
          </cell>
          <cell r="H78" t="str">
            <v>SBIN0061512</v>
          </cell>
        </row>
        <row r="79">
          <cell r="E79" t="str">
            <v>Nikhil Kumar</v>
          </cell>
          <cell r="F79">
            <v>9898431516</v>
          </cell>
          <cell r="G79">
            <v>50670100037790</v>
          </cell>
          <cell r="H79" t="str">
            <v>BARB0BUPGBX</v>
          </cell>
        </row>
        <row r="80">
          <cell r="E80" t="str">
            <v>Bablu Sadashiv Saroj</v>
          </cell>
          <cell r="F80">
            <v>9898431516</v>
          </cell>
          <cell r="G80">
            <v>673302010003089</v>
          </cell>
          <cell r="H80" t="str">
            <v>UBIN0567337</v>
          </cell>
        </row>
        <row r="81">
          <cell r="E81" t="str">
            <v>Ramchand Tej Bahadur</v>
          </cell>
          <cell r="F81">
            <v>9898431516</v>
          </cell>
          <cell r="G81" t="str">
            <v>07368100008772</v>
          </cell>
          <cell r="H81" t="str">
            <v>BARB0DBRAEB</v>
          </cell>
        </row>
        <row r="82">
          <cell r="E82" t="str">
            <v>Ritik Sanjay</v>
          </cell>
          <cell r="F82">
            <v>9898431516</v>
          </cell>
          <cell r="G82">
            <v>50100750889651</v>
          </cell>
          <cell r="H82" t="str">
            <v>HDFC0000033</v>
          </cell>
        </row>
        <row r="83">
          <cell r="E83" t="str">
            <v>Sanjit Kumar Santram</v>
          </cell>
          <cell r="F83">
            <v>9898431516</v>
          </cell>
          <cell r="G83" t="str">
            <v>50100750889648</v>
          </cell>
          <cell r="H83" t="str">
            <v>HDFC0000033</v>
          </cell>
        </row>
        <row r="84">
          <cell r="E84" t="str">
            <v>Sindha Kiranbhai Manubhai</v>
          </cell>
          <cell r="F84">
            <v>9898431516</v>
          </cell>
          <cell r="G84">
            <v>100279100385</v>
          </cell>
          <cell r="H84" t="str">
            <v>INDB0000793</v>
          </cell>
        </row>
        <row r="85">
          <cell r="E85" t="str">
            <v>Rajendra Kumar Ram Harsh</v>
          </cell>
          <cell r="F85">
            <v>9898431516</v>
          </cell>
          <cell r="G85">
            <v>44711827038</v>
          </cell>
          <cell r="H85" t="str">
            <v>SBIN0061512</v>
          </cell>
        </row>
        <row r="86">
          <cell r="E86" t="str">
            <v>Deepak Ramnaresh</v>
          </cell>
          <cell r="F86">
            <v>8278707068</v>
          </cell>
          <cell r="G86">
            <v>464802050001363</v>
          </cell>
          <cell r="H86" t="str">
            <v>UBIN0546488</v>
          </cell>
        </row>
        <row r="87">
          <cell r="E87" t="str">
            <v>Prakashbhai Jasvantbhai Padhiyar</v>
          </cell>
          <cell r="F87">
            <v>9898431516</v>
          </cell>
          <cell r="G87">
            <v>65292108892</v>
          </cell>
          <cell r="H87" t="str">
            <v>SBIN0032681</v>
          </cell>
        </row>
        <row r="88">
          <cell r="E88" t="str">
            <v>Padhiyar Saileshbhai Sureshbhai</v>
          </cell>
          <cell r="F88">
            <v>9898431516</v>
          </cell>
          <cell r="G88">
            <v>42926929494</v>
          </cell>
          <cell r="H88" t="str">
            <v>SBIN0001035</v>
          </cell>
        </row>
        <row r="89">
          <cell r="E89" t="str">
            <v>Shaikh Arbajbhai Mahamadbhai</v>
          </cell>
          <cell r="F89">
            <v>9898431516</v>
          </cell>
          <cell r="G89">
            <v>30270110063927</v>
          </cell>
          <cell r="H89" t="str">
            <v>UCBA0003027</v>
          </cell>
        </row>
        <row r="90">
          <cell r="E90" t="str">
            <v>Sindha Karansinh Rameshbhai</v>
          </cell>
          <cell r="F90">
            <v>9898431516</v>
          </cell>
          <cell r="G90" t="str">
            <v>03040100012544</v>
          </cell>
          <cell r="H90" t="str">
            <v>BARB0DHUVAR</v>
          </cell>
        </row>
        <row r="91">
          <cell r="E91" t="str">
            <v>Sindha Mukeshbhai Babubhai</v>
          </cell>
          <cell r="F91">
            <v>9898431516</v>
          </cell>
          <cell r="G91" t="str">
            <v>03040100018403</v>
          </cell>
          <cell r="H91" t="str">
            <v>BARB0DHUVAR</v>
          </cell>
        </row>
        <row r="92">
          <cell r="E92" t="str">
            <v>Maneesh kumar Pancham prasad</v>
          </cell>
          <cell r="F92">
            <v>9898431516</v>
          </cell>
          <cell r="G92">
            <v>46488100001432</v>
          </cell>
          <cell r="H92" t="str">
            <v>BARB0MADHUP</v>
          </cell>
        </row>
        <row r="93">
          <cell r="E93" t="str">
            <v>Guddu kumar Rampukar Ram</v>
          </cell>
          <cell r="F93">
            <v>9898431516</v>
          </cell>
          <cell r="G93" t="str">
            <v>2912000101190187</v>
          </cell>
          <cell r="H93" t="str">
            <v>PUNB0291200</v>
          </cell>
        </row>
        <row r="94">
          <cell r="E94" t="str">
            <v>Navneetsinh Janaksinh Parmar</v>
          </cell>
          <cell r="F94">
            <v>9737888413</v>
          </cell>
          <cell r="G94" t="str">
            <v>02040100033898</v>
          </cell>
          <cell r="H94" t="str">
            <v>BARB0PADRAX</v>
          </cell>
        </row>
        <row r="95">
          <cell r="E95" t="str">
            <v>Padiyar Heenaben Sanjaybhai</v>
          </cell>
          <cell r="F95">
            <v>9898431516</v>
          </cell>
          <cell r="G95">
            <v>41515581632</v>
          </cell>
          <cell r="H95" t="str">
            <v>SBIN0061512</v>
          </cell>
        </row>
        <row r="96">
          <cell r="E96" t="str">
            <v>Patel Poojaben Brijeshbhai</v>
          </cell>
          <cell r="F96">
            <v>9898431516</v>
          </cell>
          <cell r="G96">
            <v>55490100003161</v>
          </cell>
          <cell r="H96" t="str">
            <v>BARB0GAVASA</v>
          </cell>
        </row>
        <row r="97">
          <cell r="E97" t="str">
            <v xml:space="preserve">Parmar Rekhaben Dilipbhai </v>
          </cell>
          <cell r="F97">
            <v>9687344167</v>
          </cell>
          <cell r="G97">
            <v>20408898332</v>
          </cell>
          <cell r="H97" t="str">
            <v>SBIN0016383</v>
          </cell>
        </row>
        <row r="98">
          <cell r="E98" t="str">
            <v>Makwana Puspaben Mahendrabhai</v>
          </cell>
          <cell r="F98">
            <v>9898431516</v>
          </cell>
          <cell r="G98">
            <v>33868847886</v>
          </cell>
          <cell r="H98" t="str">
            <v>SBIN0000442</v>
          </cell>
        </row>
        <row r="99">
          <cell r="E99" t="str">
            <v>Patanvadiya Sonal Vijaybhai</v>
          </cell>
          <cell r="F99">
            <v>9909675037</v>
          </cell>
          <cell r="G99">
            <v>44477266653</v>
          </cell>
          <cell r="H99" t="str">
            <v>SBIN0060245</v>
          </cell>
        </row>
        <row r="100">
          <cell r="E100" t="str">
            <v>Parmar bhavinaben Pareshkumar</v>
          </cell>
          <cell r="F100">
            <v>9898431516</v>
          </cell>
          <cell r="G100">
            <v>3928410082</v>
          </cell>
          <cell r="H100" t="str">
            <v>CBIN0282381</v>
          </cell>
        </row>
        <row r="101">
          <cell r="E101" t="str">
            <v>Chetnaben Maheshbhai vasava</v>
          </cell>
          <cell r="F101">
            <v>7622051224</v>
          </cell>
          <cell r="G101">
            <v>673302120000101</v>
          </cell>
          <cell r="H101" t="str">
            <v>UBIN0567337</v>
          </cell>
        </row>
        <row r="102">
          <cell r="E102" t="str">
            <v>Divya nareshbhai Mali</v>
          </cell>
          <cell r="F102">
            <v>9898431516</v>
          </cell>
          <cell r="G102">
            <v>37290100001588</v>
          </cell>
          <cell r="H102" t="str">
            <v>BARB0CHANSA</v>
          </cell>
        </row>
        <row r="103">
          <cell r="E103" t="str">
            <v>Nishaben Ramanbhai Solanki</v>
          </cell>
          <cell r="F103">
            <v>9664699286</v>
          </cell>
          <cell r="G103">
            <v>251910510001407</v>
          </cell>
          <cell r="H103" t="str">
            <v>BKID0002519</v>
          </cell>
        </row>
        <row r="104">
          <cell r="E104" t="str">
            <v>Bhumika Naginbhai Parmar</v>
          </cell>
          <cell r="F104">
            <v>8780743836</v>
          </cell>
          <cell r="G104">
            <v>5898498314</v>
          </cell>
          <cell r="H104" t="str">
            <v>CBIN0282381</v>
          </cell>
        </row>
        <row r="105">
          <cell r="E105" t="str">
            <v>Kinjalben Arvinbhai Chauhan</v>
          </cell>
          <cell r="F105">
            <v>7861868232</v>
          </cell>
          <cell r="G105">
            <v>42269703211</v>
          </cell>
          <cell r="H105" t="str">
            <v>SBIN0000442</v>
          </cell>
        </row>
        <row r="106">
          <cell r="E106" t="str">
            <v>Gohil Daxben Tusharsinh</v>
          </cell>
          <cell r="F106">
            <v>9726655089</v>
          </cell>
          <cell r="G106">
            <v>673302120000411</v>
          </cell>
          <cell r="H106" t="str">
            <v>UBIN0567337</v>
          </cell>
        </row>
        <row r="107">
          <cell r="E107" t="str">
            <v>Daxben Viralbhai Raval</v>
          </cell>
          <cell r="F107">
            <v>9898431516</v>
          </cell>
          <cell r="G107">
            <v>42427129484</v>
          </cell>
          <cell r="H107" t="str">
            <v>SBIN0000442</v>
          </cell>
        </row>
        <row r="108">
          <cell r="E108" t="str">
            <v>Minakshiben Sureshbhai Jogadekar</v>
          </cell>
          <cell r="F108">
            <v>8128200977</v>
          </cell>
          <cell r="G108" t="str">
            <v>02048100004599</v>
          </cell>
          <cell r="H108" t="str">
            <v>BARB0PADRAX</v>
          </cell>
        </row>
        <row r="109">
          <cell r="E109" t="str">
            <v>Jogi Heenaben Durganath</v>
          </cell>
          <cell r="F109">
            <v>9898431516</v>
          </cell>
          <cell r="G109">
            <v>40318261160</v>
          </cell>
          <cell r="H109" t="str">
            <v>SBIN0000442</v>
          </cell>
        </row>
        <row r="110">
          <cell r="E110" t="str">
            <v>Yogeshbhai Bhailalbhai Vanakar</v>
          </cell>
          <cell r="F110">
            <v>9898431516</v>
          </cell>
          <cell r="G110">
            <v>50100620042968</v>
          </cell>
          <cell r="H110" t="str">
            <v>HDFC0000416</v>
          </cell>
        </row>
        <row r="111">
          <cell r="E111" t="str">
            <v>Balram Ram aadhar</v>
          </cell>
          <cell r="F111">
            <v>9054113758</v>
          </cell>
          <cell r="G111">
            <v>673302010005623</v>
          </cell>
          <cell r="H111" t="str">
            <v>UBIN0567337</v>
          </cell>
        </row>
        <row r="112">
          <cell r="E112" t="str">
            <v>Jitendrabhai Narayanbhai Parmar</v>
          </cell>
          <cell r="F112">
            <v>9898431516</v>
          </cell>
          <cell r="G112">
            <v>44604092138</v>
          </cell>
          <cell r="H112" t="str">
            <v>SBIN0005720</v>
          </cell>
        </row>
        <row r="113">
          <cell r="E113" t="str">
            <v>Yogeshbhai Yashvantbhai Solanki</v>
          </cell>
          <cell r="F113">
            <v>9773132670</v>
          </cell>
          <cell r="G113">
            <v>92450100018404</v>
          </cell>
          <cell r="H113" t="str">
            <v>BARB0PADRAX</v>
          </cell>
        </row>
        <row r="114">
          <cell r="E114" t="str">
            <v>Jadav Karansinh Mahipatsinh</v>
          </cell>
          <cell r="F114">
            <v>9898431516</v>
          </cell>
          <cell r="G114">
            <v>43628011364</v>
          </cell>
          <cell r="H114" t="str">
            <v>SBIN0018086</v>
          </cell>
        </row>
        <row r="115">
          <cell r="E115" t="str">
            <v>Vasava Jayeshbhai Kalidas</v>
          </cell>
          <cell r="F115">
            <v>63513516401</v>
          </cell>
          <cell r="G115">
            <v>5379077964</v>
          </cell>
          <cell r="H115" t="str">
            <v>CBIN0284841</v>
          </cell>
        </row>
        <row r="116">
          <cell r="E116" t="str">
            <v>Mali Rashmikaben Rajubhai</v>
          </cell>
          <cell r="F116">
            <v>7984147918</v>
          </cell>
          <cell r="G116">
            <v>44174473595</v>
          </cell>
          <cell r="H116" t="str">
            <v>SBIN0061335</v>
          </cell>
        </row>
        <row r="117">
          <cell r="E117" t="str">
            <v>Snehalben Kishorsinh Vaghela</v>
          </cell>
          <cell r="F117">
            <v>8200689487</v>
          </cell>
          <cell r="G117">
            <v>33742495143</v>
          </cell>
          <cell r="H117" t="str">
            <v>SBIN0008342</v>
          </cell>
        </row>
        <row r="118">
          <cell r="E118" t="str">
            <v>RAHUL HARIRAM KUMAR</v>
          </cell>
          <cell r="F118">
            <v>9898431516</v>
          </cell>
          <cell r="G118" t="str">
            <v>673302050000543</v>
          </cell>
          <cell r="H118" t="str">
            <v>UBIN0567337</v>
          </cell>
        </row>
        <row r="119">
          <cell r="E119" t="str">
            <v>Bharat Lal Deshraj</v>
          </cell>
          <cell r="F119">
            <v>9898431516</v>
          </cell>
          <cell r="G119" t="str">
            <v>50100643277675</v>
          </cell>
          <cell r="H119" t="str">
            <v>HDFC0000033</v>
          </cell>
        </row>
        <row r="120">
          <cell r="E120" t="str">
            <v>Sunilbhai Ramlabhai Rathod</v>
          </cell>
          <cell r="F120">
            <v>7572871660</v>
          </cell>
          <cell r="G120">
            <v>56248100008507</v>
          </cell>
          <cell r="H120" t="str">
            <v>BARB0CHADAH</v>
          </cell>
        </row>
        <row r="121">
          <cell r="E121" t="str">
            <v>Sahil Khan Alamgir khan</v>
          </cell>
          <cell r="F121">
            <v>9263865428</v>
          </cell>
          <cell r="G121">
            <v>47220100009517</v>
          </cell>
          <cell r="H121" t="str">
            <v>BARB0SONDIH</v>
          </cell>
        </row>
        <row r="122">
          <cell r="E122" t="str">
            <v>Radhey ram Chandra</v>
          </cell>
          <cell r="F122">
            <v>9898431516</v>
          </cell>
          <cell r="G122">
            <v>673302010003123</v>
          </cell>
          <cell r="H122" t="str">
            <v>UBIN0567337</v>
          </cell>
        </row>
        <row r="123">
          <cell r="E123" t="str">
            <v>Shivam Chandan</v>
          </cell>
          <cell r="F123">
            <v>9898431516</v>
          </cell>
          <cell r="G123">
            <v>43430100020133</v>
          </cell>
          <cell r="H123" t="str">
            <v>BARB0SALRAE</v>
          </cell>
        </row>
        <row r="124">
          <cell r="E124" t="str">
            <v>Ajay Chandan</v>
          </cell>
          <cell r="F124">
            <v>9898431516</v>
          </cell>
          <cell r="G124" t="str">
            <v>50100779416551</v>
          </cell>
          <cell r="H124" t="str">
            <v>HDFC0000033</v>
          </cell>
        </row>
        <row r="125">
          <cell r="E125" t="str">
            <v>Ankit Premdas</v>
          </cell>
          <cell r="F125">
            <v>9998785804</v>
          </cell>
          <cell r="G125">
            <v>647702010002532</v>
          </cell>
          <cell r="H125" t="str">
            <v>UBIN0564770</v>
          </cell>
        </row>
        <row r="126">
          <cell r="E126" t="str">
            <v>Shivam Ram Ganesh</v>
          </cell>
          <cell r="F126">
            <v>9998785804</v>
          </cell>
          <cell r="G126">
            <v>775402010001813</v>
          </cell>
          <cell r="H126" t="str">
            <v>UBIN0564770</v>
          </cell>
        </row>
        <row r="127">
          <cell r="E127" t="str">
            <v>Abhy Maya</v>
          </cell>
          <cell r="F127">
            <v>9898431516</v>
          </cell>
          <cell r="G127" t="str">
            <v>647702010006553</v>
          </cell>
          <cell r="H127" t="str">
            <v>UBIN0564770</v>
          </cell>
        </row>
        <row r="128">
          <cell r="E128" t="str">
            <v>Ajay Kumar Amarnath</v>
          </cell>
          <cell r="F128">
            <v>9898431516</v>
          </cell>
          <cell r="G128">
            <v>647702010003626</v>
          </cell>
          <cell r="H128" t="str">
            <v>UBIN0564770</v>
          </cell>
        </row>
        <row r="129">
          <cell r="E129" t="str">
            <v>Abhishek Kumar Chhedilal</v>
          </cell>
          <cell r="F129">
            <v>9898431516</v>
          </cell>
          <cell r="G129">
            <v>647702010003622</v>
          </cell>
          <cell r="H129" t="str">
            <v>UBIN0564770</v>
          </cell>
        </row>
        <row r="130">
          <cell r="E130" t="str">
            <v>Praveen Kumar Yadav</v>
          </cell>
          <cell r="F130">
            <v>9898431516</v>
          </cell>
          <cell r="G130" t="str">
            <v>50100709166541</v>
          </cell>
          <cell r="H130" t="str">
            <v>HDFC0000033</v>
          </cell>
        </row>
        <row r="131">
          <cell r="E131" t="str">
            <v>Abhishek Gaur</v>
          </cell>
          <cell r="F131">
            <v>9898431516</v>
          </cell>
          <cell r="G131" t="str">
            <v>50100730904245</v>
          </cell>
          <cell r="H131" t="str">
            <v>HDFC0000033</v>
          </cell>
        </row>
        <row r="132">
          <cell r="E132" t="str">
            <v>Ram Lakhan Sadhari</v>
          </cell>
          <cell r="F132">
            <v>9898431516</v>
          </cell>
          <cell r="G132" t="str">
            <v>50100709166478</v>
          </cell>
          <cell r="H132" t="str">
            <v>HDFC0000033</v>
          </cell>
        </row>
        <row r="133">
          <cell r="E133" t="str">
            <v>Monu Heera Lal</v>
          </cell>
          <cell r="F133">
            <v>9998785804</v>
          </cell>
          <cell r="G133">
            <v>464802050001368</v>
          </cell>
          <cell r="H133" t="str">
            <v>UBIN0546488</v>
          </cell>
        </row>
        <row r="134">
          <cell r="E134" t="str">
            <v>Ram Raj Sundar</v>
          </cell>
          <cell r="F134">
            <v>9935521240</v>
          </cell>
          <cell r="G134">
            <v>38820100009838</v>
          </cell>
          <cell r="H134" t="str">
            <v>BARB0LODHWA</v>
          </cell>
        </row>
        <row r="135">
          <cell r="E135" t="str">
            <v>Dharmendra Nandlal Saroj</v>
          </cell>
          <cell r="F135">
            <v>9998785804</v>
          </cell>
          <cell r="G135">
            <v>673302120000169</v>
          </cell>
          <cell r="H135" t="str">
            <v>UBIN0564770</v>
          </cell>
        </row>
        <row r="136">
          <cell r="E136" t="str">
            <v>Vijay Bahadur Ramdas</v>
          </cell>
          <cell r="F136">
            <v>9998785804</v>
          </cell>
          <cell r="G136">
            <v>673302120000140</v>
          </cell>
          <cell r="H136" t="str">
            <v>UBIN0564770</v>
          </cell>
        </row>
        <row r="137">
          <cell r="E137" t="str">
            <v>Sateesh Shiv Shankar Tiwari</v>
          </cell>
          <cell r="F137">
            <v>9998785804</v>
          </cell>
          <cell r="G137">
            <v>673302120002752</v>
          </cell>
          <cell r="H137" t="str">
            <v>UBIN0564770</v>
          </cell>
        </row>
        <row r="138">
          <cell r="E138" t="str">
            <v>Shivjit Kumar Kallu</v>
          </cell>
          <cell r="F138">
            <v>9998785804</v>
          </cell>
          <cell r="G138">
            <v>775402010001842</v>
          </cell>
          <cell r="H138" t="str">
            <v>UBIN0564770</v>
          </cell>
        </row>
        <row r="139">
          <cell r="E139" t="str">
            <v>Dinesh Kumar Yadav Shyam Sundar</v>
          </cell>
          <cell r="F139">
            <v>9998785804</v>
          </cell>
          <cell r="G139">
            <v>50100750890497</v>
          </cell>
          <cell r="H139" t="str">
            <v>HDFC0000033</v>
          </cell>
        </row>
        <row r="140">
          <cell r="E140" t="str">
            <v>Raval Jagdishbhai Kanubhai</v>
          </cell>
          <cell r="F140">
            <v>9998785804</v>
          </cell>
          <cell r="G140">
            <v>673302120000159</v>
          </cell>
          <cell r="H140" t="str">
            <v>UBIN0567337</v>
          </cell>
        </row>
        <row r="141">
          <cell r="E141" t="str">
            <v>Sindha Ajaysinh Dolatsinh</v>
          </cell>
          <cell r="F141">
            <v>9998785804</v>
          </cell>
          <cell r="G141">
            <v>3139010003503</v>
          </cell>
          <cell r="H141" t="str">
            <v>SBIN0061512</v>
          </cell>
        </row>
        <row r="142">
          <cell r="E142" t="str">
            <v>Makvana Harshadkumar Mahendrasinh</v>
          </cell>
          <cell r="F142">
            <v>9998785804</v>
          </cell>
          <cell r="G142">
            <v>40978009402</v>
          </cell>
          <cell r="H142" t="str">
            <v>SBIN0061512</v>
          </cell>
        </row>
        <row r="143">
          <cell r="E143" t="str">
            <v>Shivanshu Ravi Shankar Dixit</v>
          </cell>
          <cell r="F143">
            <v>9998785804</v>
          </cell>
          <cell r="G143">
            <v>50100100020331</v>
          </cell>
          <cell r="H143" t="str">
            <v>HDFC0000033</v>
          </cell>
        </row>
        <row r="144">
          <cell r="E144" t="str">
            <v>Raj Kumar Soorjdin Yadav (Raju)</v>
          </cell>
          <cell r="F144">
            <v>9998785804</v>
          </cell>
          <cell r="G144">
            <v>67330201002722</v>
          </cell>
          <cell r="H144" t="str">
            <v>UBIN0564770</v>
          </cell>
        </row>
        <row r="145">
          <cell r="E145" t="str">
            <v>Ashish Ramesh</v>
          </cell>
          <cell r="F145">
            <v>9998785804</v>
          </cell>
          <cell r="G145">
            <v>59450100028814</v>
          </cell>
          <cell r="H145" t="str">
            <v>BARB0NIGOHA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0BEF-3D91-4AFA-B2C4-C7718427E628}">
  <dimension ref="A1:AT156"/>
  <sheetViews>
    <sheetView tabSelected="1" topLeftCell="V2" zoomScale="89" workbookViewId="0">
      <selection activeCell="AI13" sqref="AI13"/>
    </sheetView>
  </sheetViews>
  <sheetFormatPr defaultRowHeight="15" x14ac:dyDescent="0.25"/>
  <cols>
    <col min="8" max="8" width="11.85546875" bestFit="1" customWidth="1"/>
    <col min="10" max="10" width="17.7109375" bestFit="1" customWidth="1"/>
    <col min="12" max="12" width="26" bestFit="1" customWidth="1"/>
    <col min="14" max="14" width="24.85546875" bestFit="1" customWidth="1"/>
    <col min="15" max="15" width="20.85546875" bestFit="1" customWidth="1"/>
    <col min="16" max="16" width="9.42578125" bestFit="1" customWidth="1"/>
    <col min="18" max="18" width="15.5703125" bestFit="1" customWidth="1"/>
    <col min="19" max="19" width="9.42578125" bestFit="1" customWidth="1"/>
    <col min="20" max="20" width="8" bestFit="1" customWidth="1"/>
    <col min="21" max="21" width="14.42578125" bestFit="1" customWidth="1"/>
    <col min="22" max="22" width="16" bestFit="1" customWidth="1"/>
    <col min="23" max="24" width="9.42578125" bestFit="1" customWidth="1"/>
    <col min="25" max="25" width="6.7109375" bestFit="1" customWidth="1"/>
    <col min="26" max="26" width="9.42578125" bestFit="1" customWidth="1"/>
    <col min="27" max="27" width="11.7109375" bestFit="1" customWidth="1"/>
    <col min="28" max="28" width="9.42578125" bestFit="1" customWidth="1"/>
    <col min="29" max="29" width="10" bestFit="1" customWidth="1"/>
    <col min="30" max="30" width="15.7109375" bestFit="1" customWidth="1"/>
    <col min="31" max="31" width="10" bestFit="1" customWidth="1"/>
    <col min="32" max="32" width="9.5703125" bestFit="1" customWidth="1"/>
    <col min="33" max="33" width="16.42578125" bestFit="1" customWidth="1"/>
    <col min="34" max="34" width="14.42578125" bestFit="1" customWidth="1"/>
    <col min="35" max="35" width="16.42578125" bestFit="1" customWidth="1"/>
    <col min="36" max="36" width="18.42578125" bestFit="1" customWidth="1"/>
    <col min="37" max="37" width="8.5703125" bestFit="1" customWidth="1"/>
    <col min="38" max="38" width="14.42578125" bestFit="1" customWidth="1"/>
    <col min="39" max="43" width="9.42578125" bestFit="1" customWidth="1"/>
    <col min="44" max="44" width="10.5703125" bestFit="1" customWidth="1"/>
    <col min="46" max="46" width="9.42578125" bestFit="1" customWidth="1"/>
  </cols>
  <sheetData>
    <row r="1" spans="1:46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</row>
    <row r="2" spans="1:46" ht="30" x14ac:dyDescent="0.25">
      <c r="A2" t="s">
        <v>0</v>
      </c>
      <c r="D2">
        <v>1</v>
      </c>
      <c r="E2">
        <v>2</v>
      </c>
      <c r="F2">
        <v>3</v>
      </c>
      <c r="G2">
        <v>4</v>
      </c>
      <c r="K2" s="1" t="s">
        <v>1</v>
      </c>
      <c r="L2" s="2" t="s">
        <v>2</v>
      </c>
      <c r="Q2" t="s">
        <v>3</v>
      </c>
      <c r="R2">
        <v>30</v>
      </c>
      <c r="AA2" t="s">
        <v>3</v>
      </c>
      <c r="AB2">
        <v>30</v>
      </c>
      <c r="AC2">
        <v>8</v>
      </c>
      <c r="AL2" t="s">
        <v>4</v>
      </c>
      <c r="AO2" t="s">
        <v>5</v>
      </c>
    </row>
    <row r="3" spans="1:46" ht="30" x14ac:dyDescent="0.25">
      <c r="K3" s="2" t="s">
        <v>2</v>
      </c>
      <c r="L3" s="1" t="s">
        <v>1</v>
      </c>
      <c r="M3" s="2" t="s">
        <v>6</v>
      </c>
      <c r="N3" s="2" t="s">
        <v>7</v>
      </c>
      <c r="O3" s="2" t="s">
        <v>8</v>
      </c>
      <c r="P3" s="2" t="s">
        <v>9</v>
      </c>
      <c r="Q3" t="s">
        <v>10</v>
      </c>
      <c r="AS3" s="2" t="s">
        <v>11</v>
      </c>
    </row>
    <row r="4" spans="1:46" ht="30" x14ac:dyDescent="0.25">
      <c r="A4" s="3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</v>
      </c>
      <c r="L4" s="2" t="s">
        <v>6</v>
      </c>
      <c r="M4" s="2" t="s">
        <v>7</v>
      </c>
      <c r="N4" s="2" t="s">
        <v>8</v>
      </c>
      <c r="O4" s="2" t="s">
        <v>9</v>
      </c>
      <c r="P4" s="1" t="s">
        <v>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4" t="s">
        <v>37</v>
      </c>
      <c r="AG4" s="5" t="s">
        <v>38</v>
      </c>
      <c r="AH4" s="2" t="s">
        <v>39</v>
      </c>
      <c r="AI4" s="2" t="s">
        <v>40</v>
      </c>
      <c r="AJ4" s="2" t="s">
        <v>41</v>
      </c>
      <c r="AK4" s="6" t="s">
        <v>42</v>
      </c>
      <c r="AL4" s="2" t="s">
        <v>43</v>
      </c>
      <c r="AM4" s="2" t="s">
        <v>44</v>
      </c>
      <c r="AN4" s="2" t="s">
        <v>45</v>
      </c>
      <c r="AO4" s="2" t="s">
        <v>46</v>
      </c>
      <c r="AP4" s="2" t="s">
        <v>47</v>
      </c>
      <c r="AQ4" s="2" t="s">
        <v>48</v>
      </c>
      <c r="AR4" t="s">
        <v>49</v>
      </c>
      <c r="AS4" s="32" t="s">
        <v>50</v>
      </c>
      <c r="AT4" s="3" t="s">
        <v>51</v>
      </c>
    </row>
    <row r="5" spans="1:46" ht="30" x14ac:dyDescent="0.25">
      <c r="A5" s="7">
        <f t="array" ref="A5:A153">_xlfn.SEQUENCE(COUNTA(B5:B250))</f>
        <v>1</v>
      </c>
      <c r="B5" s="8" t="str">
        <f>+D5</f>
        <v>NUC0744</v>
      </c>
      <c r="C5" s="8" t="s">
        <v>52</v>
      </c>
      <c r="D5" s="8" t="s">
        <v>53</v>
      </c>
      <c r="E5" s="9" t="s">
        <v>54</v>
      </c>
      <c r="F5" s="8" t="s">
        <v>55</v>
      </c>
      <c r="G5" s="8" t="s">
        <v>56</v>
      </c>
      <c r="H5" s="10" t="s">
        <v>57</v>
      </c>
      <c r="I5" s="11" t="s">
        <v>58</v>
      </c>
      <c r="J5" s="12">
        <v>45248</v>
      </c>
      <c r="K5" s="13" t="s">
        <v>59</v>
      </c>
      <c r="L5" s="14" t="s">
        <v>60</v>
      </c>
      <c r="M5" s="14" t="s">
        <v>61</v>
      </c>
      <c r="N5" s="14">
        <v>101540999300</v>
      </c>
      <c r="O5" s="13">
        <v>3812942876</v>
      </c>
      <c r="P5" s="15">
        <v>0</v>
      </c>
      <c r="Q5" s="16" t="s">
        <v>62</v>
      </c>
      <c r="R5" s="17">
        <v>489.5</v>
      </c>
      <c r="S5" s="18">
        <f>R5*$R$1</f>
        <v>7342.5</v>
      </c>
      <c r="T5" s="8">
        <v>23</v>
      </c>
      <c r="U5" s="19">
        <v>0</v>
      </c>
      <c r="V5" s="19">
        <v>2</v>
      </c>
      <c r="W5" s="19">
        <v>1</v>
      </c>
      <c r="X5" s="19">
        <v>0</v>
      </c>
      <c r="Y5" s="19">
        <v>4</v>
      </c>
      <c r="Z5" s="19">
        <v>0</v>
      </c>
      <c r="AA5" s="20">
        <f>T5+X5</f>
        <v>23</v>
      </c>
      <c r="AB5" s="21">
        <f>T5+W5+X5+Y5+Z5</f>
        <v>28</v>
      </c>
      <c r="AC5" s="22">
        <f>R5*AA5</f>
        <v>11258.5</v>
      </c>
      <c r="AD5" s="22">
        <v>0</v>
      </c>
      <c r="AE5" s="18">
        <f>R5/4*V5</f>
        <v>244.75</v>
      </c>
      <c r="AF5" s="18">
        <v>0</v>
      </c>
      <c r="AG5" s="18">
        <v>0</v>
      </c>
      <c r="AH5" s="23">
        <f>SUM(AC5:AG5)</f>
        <v>11503.25</v>
      </c>
      <c r="AI5" s="18">
        <v>500</v>
      </c>
      <c r="AJ5" s="18">
        <f>VLOOKUP(D5,[1]Sheet1!$D$6:$DR$155,119,0)</f>
        <v>0</v>
      </c>
      <c r="AK5" s="18">
        <f>VLOOKUP(D5,[1]Sheet1!$D$6:$DQ$155,118,0)</f>
        <v>350</v>
      </c>
      <c r="AL5" s="23">
        <f>AH5-AI5-AJ5-AK5</f>
        <v>10653.25</v>
      </c>
      <c r="AM5" s="24">
        <f>IF(AH5&gt;15000,1800,AH5*12%)</f>
        <v>1380.3899999999999</v>
      </c>
      <c r="AN5" s="24">
        <f>AH5*0.75%</f>
        <v>86.274374999999992</v>
      </c>
      <c r="AO5" s="24">
        <f>IF(AH5&gt;12000,200,0)</f>
        <v>0</v>
      </c>
      <c r="AP5" s="24">
        <f t="shared" ref="AP5:AP68" si="0">ROUND(AM5*13/12,0)</f>
        <v>1495</v>
      </c>
      <c r="AQ5" s="24">
        <f t="shared" ref="AQ5:AQ68" si="1">ROUND(AN5*3.25/0.75,0)</f>
        <v>374</v>
      </c>
      <c r="AR5" s="24">
        <f t="shared" ref="AR5:AR32" si="2">AH5-SUM(AI5:AK5)-SUM(AM5:AO5)</f>
        <v>9186.5856249999997</v>
      </c>
      <c r="AS5" s="25" t="s">
        <v>63</v>
      </c>
      <c r="AT5" s="26">
        <v>0</v>
      </c>
    </row>
    <row r="6" spans="1:46" ht="30" x14ac:dyDescent="0.25">
      <c r="A6" s="7">
        <v>2</v>
      </c>
      <c r="B6" s="8" t="str">
        <f t="shared" ref="B6:B69" si="3">+D6</f>
        <v>NUC0854</v>
      </c>
      <c r="C6" s="8" t="s">
        <v>64</v>
      </c>
      <c r="D6" s="8" t="s">
        <v>65</v>
      </c>
      <c r="E6" s="9" t="s">
        <v>66</v>
      </c>
      <c r="F6" s="8" t="s">
        <v>55</v>
      </c>
      <c r="G6" s="8" t="s">
        <v>67</v>
      </c>
      <c r="H6" s="10" t="s">
        <v>68</v>
      </c>
      <c r="I6" s="11" t="s">
        <v>58</v>
      </c>
      <c r="J6" s="12">
        <v>45380</v>
      </c>
      <c r="K6" s="13" t="s">
        <v>69</v>
      </c>
      <c r="L6" s="14" t="s">
        <v>70</v>
      </c>
      <c r="M6" s="14" t="s">
        <v>71</v>
      </c>
      <c r="N6" s="14">
        <v>102064158236</v>
      </c>
      <c r="O6" s="13">
        <v>3813094348</v>
      </c>
      <c r="P6" s="15">
        <v>0</v>
      </c>
      <c r="Q6" s="16" t="s">
        <v>62</v>
      </c>
      <c r="R6" s="17">
        <v>489.5</v>
      </c>
      <c r="S6" s="18">
        <f t="shared" ref="S6:S69" si="4">R6*$R$1</f>
        <v>7342.5</v>
      </c>
      <c r="T6" s="8">
        <v>1</v>
      </c>
      <c r="U6" s="19">
        <v>0</v>
      </c>
      <c r="V6" s="19">
        <v>1</v>
      </c>
      <c r="W6" s="19">
        <v>26</v>
      </c>
      <c r="X6" s="19">
        <v>0</v>
      </c>
      <c r="Y6" s="19">
        <v>1</v>
      </c>
      <c r="Z6" s="19">
        <v>0</v>
      </c>
      <c r="AA6" s="20">
        <f t="shared" ref="AA6:AA69" si="5">T6+X6</f>
        <v>1</v>
      </c>
      <c r="AB6" s="21">
        <f t="shared" ref="AB6:AB69" si="6">T6+W6+X6+Y6+Z6</f>
        <v>28</v>
      </c>
      <c r="AC6" s="22">
        <f t="shared" ref="AC6:AC69" si="7">R6*AA6</f>
        <v>489.5</v>
      </c>
      <c r="AD6" s="22">
        <f t="shared" ref="AD6:AD69" si="8">R6/8*U6</f>
        <v>0</v>
      </c>
      <c r="AE6" s="18">
        <f t="shared" ref="AE6:AE69" si="9">R6/4*V6</f>
        <v>122.375</v>
      </c>
      <c r="AF6" s="18">
        <v>0</v>
      </c>
      <c r="AG6" s="18">
        <v>0</v>
      </c>
      <c r="AH6" s="23">
        <f t="shared" ref="AH6:AH69" si="10">SUM(AC6:AG6)</f>
        <v>611.875</v>
      </c>
      <c r="AI6" s="18">
        <v>10000</v>
      </c>
      <c r="AJ6" s="18">
        <f>VLOOKUP(D6,[1]Sheet1!$D$6:$DR$155,119,0)</f>
        <v>0</v>
      </c>
      <c r="AK6" s="18">
        <f>VLOOKUP(D6,[1]Sheet1!$D$6:$DQ$155,118,0)</f>
        <v>0</v>
      </c>
      <c r="AL6" s="23">
        <f t="shared" ref="AL6:AL69" si="11">AH6-AI6-AJ6-AK6</f>
        <v>-9388.125</v>
      </c>
      <c r="AM6" s="24">
        <f t="shared" ref="AM6:AM69" si="12">IF(AH6&gt;15000,1800,AH6*12%)</f>
        <v>73.424999999999997</v>
      </c>
      <c r="AN6" s="24">
        <f t="shared" ref="AN6:AN69" si="13">AH6*0.75%</f>
        <v>4.5890624999999998</v>
      </c>
      <c r="AO6" s="24">
        <f t="shared" ref="AO6:AO69" si="14">IF(AH6&gt;12000,200,0)</f>
        <v>0</v>
      </c>
      <c r="AP6" s="24">
        <f t="shared" si="0"/>
        <v>80</v>
      </c>
      <c r="AQ6" s="24">
        <f t="shared" si="1"/>
        <v>20</v>
      </c>
      <c r="AR6" s="24">
        <f t="shared" si="2"/>
        <v>-9466.1390625000004</v>
      </c>
      <c r="AS6" s="25" t="s">
        <v>63</v>
      </c>
      <c r="AT6" s="26">
        <v>0</v>
      </c>
    </row>
    <row r="7" spans="1:46" ht="30" x14ac:dyDescent="0.25">
      <c r="A7" s="7">
        <v>3</v>
      </c>
      <c r="B7" s="8" t="str">
        <f t="shared" si="3"/>
        <v>NUC0820</v>
      </c>
      <c r="C7" s="8" t="s">
        <v>64</v>
      </c>
      <c r="D7" s="8" t="s">
        <v>72</v>
      </c>
      <c r="E7" s="9" t="s">
        <v>73</v>
      </c>
      <c r="F7" s="8" t="s">
        <v>55</v>
      </c>
      <c r="G7" s="8" t="s">
        <v>67</v>
      </c>
      <c r="H7" s="10" t="s">
        <v>74</v>
      </c>
      <c r="I7" s="11" t="s">
        <v>58</v>
      </c>
      <c r="J7" s="12">
        <v>45316</v>
      </c>
      <c r="K7" s="13" t="s">
        <v>69</v>
      </c>
      <c r="L7" s="14" t="s">
        <v>75</v>
      </c>
      <c r="M7" s="14" t="s">
        <v>71</v>
      </c>
      <c r="N7" s="14">
        <v>102036835170</v>
      </c>
      <c r="O7" s="13">
        <v>3813010889</v>
      </c>
      <c r="P7" s="15">
        <v>0</v>
      </c>
      <c r="Q7" s="16" t="s">
        <v>62</v>
      </c>
      <c r="R7" s="17">
        <v>489.5</v>
      </c>
      <c r="S7" s="18">
        <f t="shared" si="4"/>
        <v>7342.5</v>
      </c>
      <c r="T7" s="8">
        <v>3</v>
      </c>
      <c r="U7" s="19">
        <v>0</v>
      </c>
      <c r="V7" s="19">
        <v>7.5</v>
      </c>
      <c r="W7" s="19">
        <v>0</v>
      </c>
      <c r="X7" s="19">
        <v>0</v>
      </c>
      <c r="Y7" s="19">
        <v>2</v>
      </c>
      <c r="Z7" s="19">
        <v>23</v>
      </c>
      <c r="AA7" s="20">
        <f t="shared" si="5"/>
        <v>3</v>
      </c>
      <c r="AB7" s="21">
        <f t="shared" si="6"/>
        <v>28</v>
      </c>
      <c r="AC7" s="22">
        <f t="shared" si="7"/>
        <v>1468.5</v>
      </c>
      <c r="AD7" s="22">
        <f t="shared" si="8"/>
        <v>0</v>
      </c>
      <c r="AE7" s="18">
        <f t="shared" si="9"/>
        <v>917.8125</v>
      </c>
      <c r="AF7" s="18">
        <v>0</v>
      </c>
      <c r="AG7" s="18">
        <f>VLOOKUP(D7,[2]Sheet1!$B$3:$D$50,3,0)</f>
        <v>26600</v>
      </c>
      <c r="AH7" s="23">
        <f t="shared" si="10"/>
        <v>28986.3125</v>
      </c>
      <c r="AI7" s="18">
        <v>3000</v>
      </c>
      <c r="AJ7" s="18">
        <f>VLOOKUP(D7,[1]Sheet1!$D$6:$DR$155,119,0)</f>
        <v>0</v>
      </c>
      <c r="AK7" s="18">
        <f>VLOOKUP(D7,[1]Sheet1!$D$6:$DQ$155,118,0)</f>
        <v>0</v>
      </c>
      <c r="AL7" s="23">
        <f t="shared" si="11"/>
        <v>25986.3125</v>
      </c>
      <c r="AM7" s="24">
        <f t="shared" si="12"/>
        <v>1800</v>
      </c>
      <c r="AN7" s="24">
        <f t="shared" si="13"/>
        <v>217.39734375</v>
      </c>
      <c r="AO7" s="24">
        <f t="shared" si="14"/>
        <v>200</v>
      </c>
      <c r="AP7" s="24">
        <f t="shared" si="0"/>
        <v>1950</v>
      </c>
      <c r="AQ7" s="24">
        <f t="shared" si="1"/>
        <v>942</v>
      </c>
      <c r="AR7" s="24">
        <f t="shared" si="2"/>
        <v>23768.915156250001</v>
      </c>
      <c r="AS7" s="25" t="s">
        <v>63</v>
      </c>
      <c r="AT7" s="26">
        <v>0</v>
      </c>
    </row>
    <row r="8" spans="1:46" ht="30" x14ac:dyDescent="0.25">
      <c r="A8" s="7">
        <v>4</v>
      </c>
      <c r="B8" s="8" t="str">
        <f t="shared" si="3"/>
        <v>NUC0959</v>
      </c>
      <c r="C8" s="8" t="s">
        <v>64</v>
      </c>
      <c r="D8" s="8" t="s">
        <v>76</v>
      </c>
      <c r="E8" s="9" t="s">
        <v>77</v>
      </c>
      <c r="F8" s="8" t="s">
        <v>55</v>
      </c>
      <c r="G8" s="8" t="s">
        <v>78</v>
      </c>
      <c r="H8" s="10" t="s">
        <v>79</v>
      </c>
      <c r="I8" s="11" t="s">
        <v>58</v>
      </c>
      <c r="J8" s="12">
        <v>45591</v>
      </c>
      <c r="K8" s="13" t="s">
        <v>69</v>
      </c>
      <c r="L8" s="14" t="s">
        <v>80</v>
      </c>
      <c r="M8" s="14" t="s">
        <v>71</v>
      </c>
      <c r="N8" s="14">
        <v>102143567604</v>
      </c>
      <c r="O8" s="13">
        <v>3813309935</v>
      </c>
      <c r="P8" s="15">
        <v>0</v>
      </c>
      <c r="Q8" s="16" t="s">
        <v>62</v>
      </c>
      <c r="R8" s="17">
        <v>489.5</v>
      </c>
      <c r="S8" s="18">
        <f t="shared" si="4"/>
        <v>7342.5</v>
      </c>
      <c r="T8" s="8">
        <v>10</v>
      </c>
      <c r="U8" s="19">
        <v>0</v>
      </c>
      <c r="V8" s="19">
        <v>21.5</v>
      </c>
      <c r="W8" s="19">
        <v>2</v>
      </c>
      <c r="X8" s="19">
        <v>0</v>
      </c>
      <c r="Y8" s="19">
        <v>2</v>
      </c>
      <c r="Z8" s="19">
        <v>14</v>
      </c>
      <c r="AA8" s="20">
        <f t="shared" si="5"/>
        <v>10</v>
      </c>
      <c r="AB8" s="21">
        <f t="shared" si="6"/>
        <v>28</v>
      </c>
      <c r="AC8" s="22">
        <f t="shared" si="7"/>
        <v>4895</v>
      </c>
      <c r="AD8" s="22">
        <f t="shared" si="8"/>
        <v>0</v>
      </c>
      <c r="AE8" s="18">
        <f t="shared" si="9"/>
        <v>2631.0625</v>
      </c>
      <c r="AF8" s="18">
        <v>0</v>
      </c>
      <c r="AG8" s="18">
        <f>VLOOKUP(D8,[2]Sheet1!$B$3:$D$50,3,0)</f>
        <v>11360</v>
      </c>
      <c r="AH8" s="23">
        <f t="shared" si="10"/>
        <v>18886.0625</v>
      </c>
      <c r="AI8" s="18">
        <v>222</v>
      </c>
      <c r="AJ8" s="18">
        <f>VLOOKUP(D8,[1]Sheet1!$D$6:$DR$155,119,0)</f>
        <v>0</v>
      </c>
      <c r="AK8" s="18">
        <f>VLOOKUP(D8,[1]Sheet1!$D$6:$DQ$155,118,0)</f>
        <v>0</v>
      </c>
      <c r="AL8" s="23">
        <f t="shared" si="11"/>
        <v>18664.0625</v>
      </c>
      <c r="AM8" s="24">
        <f t="shared" si="12"/>
        <v>1800</v>
      </c>
      <c r="AN8" s="24">
        <f t="shared" si="13"/>
        <v>141.64546874999999</v>
      </c>
      <c r="AO8" s="24">
        <f t="shared" si="14"/>
        <v>200</v>
      </c>
      <c r="AP8" s="24">
        <f t="shared" si="0"/>
        <v>1950</v>
      </c>
      <c r="AQ8" s="24">
        <f t="shared" si="1"/>
        <v>614</v>
      </c>
      <c r="AR8" s="24">
        <f t="shared" si="2"/>
        <v>16522.417031249999</v>
      </c>
      <c r="AS8" s="25" t="s">
        <v>63</v>
      </c>
      <c r="AT8" s="26">
        <v>0</v>
      </c>
    </row>
    <row r="9" spans="1:46" ht="30" x14ac:dyDescent="0.25">
      <c r="A9" s="7">
        <v>5</v>
      </c>
      <c r="B9" s="8" t="str">
        <f t="shared" si="3"/>
        <v>NUC0117</v>
      </c>
      <c r="C9" s="8" t="s">
        <v>64</v>
      </c>
      <c r="D9" s="8" t="s">
        <v>81</v>
      </c>
      <c r="E9" s="9" t="s">
        <v>82</v>
      </c>
      <c r="F9" s="8" t="s">
        <v>55</v>
      </c>
      <c r="G9" s="8" t="s">
        <v>83</v>
      </c>
      <c r="H9" s="10" t="s">
        <v>84</v>
      </c>
      <c r="I9" s="11" t="s">
        <v>58</v>
      </c>
      <c r="J9" s="12">
        <v>45591</v>
      </c>
      <c r="K9" s="13" t="s">
        <v>69</v>
      </c>
      <c r="L9" s="14" t="s">
        <v>85</v>
      </c>
      <c r="M9" s="14" t="s">
        <v>71</v>
      </c>
      <c r="N9" s="14">
        <v>100994350157</v>
      </c>
      <c r="O9" s="13">
        <v>3811581874</v>
      </c>
      <c r="P9" s="15">
        <v>0</v>
      </c>
      <c r="Q9" s="16" t="s">
        <v>62</v>
      </c>
      <c r="R9" s="17">
        <v>489.5</v>
      </c>
      <c r="S9" s="18">
        <f t="shared" si="4"/>
        <v>7342.5</v>
      </c>
      <c r="T9" s="8">
        <v>0</v>
      </c>
      <c r="U9" s="19">
        <v>0</v>
      </c>
      <c r="V9" s="19">
        <v>0</v>
      </c>
      <c r="W9" s="19">
        <v>0</v>
      </c>
      <c r="X9" s="19">
        <v>0</v>
      </c>
      <c r="Y9" s="19">
        <v>4</v>
      </c>
      <c r="Z9" s="19">
        <v>24</v>
      </c>
      <c r="AA9" s="20">
        <f t="shared" si="5"/>
        <v>0</v>
      </c>
      <c r="AB9" s="21">
        <f t="shared" si="6"/>
        <v>28</v>
      </c>
      <c r="AC9" s="22">
        <f t="shared" si="7"/>
        <v>0</v>
      </c>
      <c r="AD9" s="22">
        <f t="shared" si="8"/>
        <v>0</v>
      </c>
      <c r="AE9" s="18">
        <f t="shared" si="9"/>
        <v>0</v>
      </c>
      <c r="AF9" s="18">
        <v>0</v>
      </c>
      <c r="AG9" s="18">
        <f>VLOOKUP(D9,[2]Sheet1!$B$3:$D$50,3,0)</f>
        <v>28542.666666666668</v>
      </c>
      <c r="AH9" s="23">
        <f t="shared" si="10"/>
        <v>28542.666666666668</v>
      </c>
      <c r="AI9" s="18">
        <v>3200</v>
      </c>
      <c r="AJ9" s="18">
        <f>VLOOKUP(D9,[1]Sheet1!$D$6:$DR$155,119,0)</f>
        <v>0</v>
      </c>
      <c r="AK9" s="18">
        <f>VLOOKUP(D9,[1]Sheet1!$D$6:$DQ$155,118,0)</f>
        <v>0</v>
      </c>
      <c r="AL9" s="23">
        <f t="shared" si="11"/>
        <v>25342.666666666668</v>
      </c>
      <c r="AM9" s="24">
        <f t="shared" si="12"/>
        <v>1800</v>
      </c>
      <c r="AN9" s="24">
        <f t="shared" si="13"/>
        <v>214.07</v>
      </c>
      <c r="AO9" s="24">
        <f t="shared" si="14"/>
        <v>200</v>
      </c>
      <c r="AP9" s="24">
        <f t="shared" si="0"/>
        <v>1950</v>
      </c>
      <c r="AQ9" s="24">
        <f t="shared" si="1"/>
        <v>928</v>
      </c>
      <c r="AR9" s="24">
        <f t="shared" si="2"/>
        <v>23128.596666666668</v>
      </c>
      <c r="AS9" s="25" t="s">
        <v>63</v>
      </c>
      <c r="AT9" s="26">
        <v>0</v>
      </c>
    </row>
    <row r="10" spans="1:46" ht="30" x14ac:dyDescent="0.25">
      <c r="A10" s="7">
        <v>6</v>
      </c>
      <c r="B10" s="8" t="str">
        <f t="shared" si="3"/>
        <v>NUC0990</v>
      </c>
      <c r="C10" s="8" t="s">
        <v>64</v>
      </c>
      <c r="D10" s="8" t="s">
        <v>86</v>
      </c>
      <c r="E10" s="9" t="s">
        <v>87</v>
      </c>
      <c r="F10" s="8" t="s">
        <v>55</v>
      </c>
      <c r="G10" s="8" t="s">
        <v>67</v>
      </c>
      <c r="H10" s="10" t="s">
        <v>74</v>
      </c>
      <c r="I10" s="11" t="s">
        <v>58</v>
      </c>
      <c r="J10" s="12">
        <v>45644</v>
      </c>
      <c r="K10" s="13" t="s">
        <v>88</v>
      </c>
      <c r="L10" s="14" t="s">
        <v>89</v>
      </c>
      <c r="M10" s="14" t="s">
        <v>90</v>
      </c>
      <c r="N10" s="14">
        <v>102154040463</v>
      </c>
      <c r="O10" s="13">
        <v>3813341813</v>
      </c>
      <c r="P10" s="15">
        <v>0</v>
      </c>
      <c r="Q10" s="16" t="s">
        <v>62</v>
      </c>
      <c r="R10" s="17">
        <v>489.5</v>
      </c>
      <c r="S10" s="18">
        <f t="shared" si="4"/>
        <v>7342.5</v>
      </c>
      <c r="T10" s="8">
        <v>4</v>
      </c>
      <c r="U10" s="19">
        <v>0</v>
      </c>
      <c r="V10" s="19">
        <v>17</v>
      </c>
      <c r="W10" s="19">
        <v>0</v>
      </c>
      <c r="X10" s="19">
        <v>0</v>
      </c>
      <c r="Y10" s="19">
        <v>2</v>
      </c>
      <c r="Z10" s="19">
        <v>22</v>
      </c>
      <c r="AA10" s="20">
        <f t="shared" si="5"/>
        <v>4</v>
      </c>
      <c r="AB10" s="21">
        <f t="shared" si="6"/>
        <v>28</v>
      </c>
      <c r="AC10" s="22">
        <f t="shared" si="7"/>
        <v>1958</v>
      </c>
      <c r="AD10" s="22">
        <f t="shared" si="8"/>
        <v>0</v>
      </c>
      <c r="AE10" s="18">
        <f t="shared" si="9"/>
        <v>2080.375</v>
      </c>
      <c r="AF10" s="18">
        <v>0</v>
      </c>
      <c r="AG10" s="18">
        <f>VLOOKUP(D10,[2]Sheet1!$B$3:$D$50,3,0)</f>
        <v>26600</v>
      </c>
      <c r="AH10" s="23">
        <f t="shared" si="10"/>
        <v>30638.375</v>
      </c>
      <c r="AI10" s="18">
        <v>23003</v>
      </c>
      <c r="AJ10" s="18">
        <f>VLOOKUP(D10,[1]Sheet1!$D$6:$DR$155,119,0)</f>
        <v>0</v>
      </c>
      <c r="AK10" s="18">
        <f>VLOOKUP(D10,[1]Sheet1!$D$6:$DQ$155,118,0)</f>
        <v>0</v>
      </c>
      <c r="AL10" s="23">
        <f t="shared" si="11"/>
        <v>7635.375</v>
      </c>
      <c r="AM10" s="24">
        <f t="shared" si="12"/>
        <v>1800</v>
      </c>
      <c r="AN10" s="24">
        <f t="shared" si="13"/>
        <v>229.7878125</v>
      </c>
      <c r="AO10" s="24">
        <f t="shared" si="14"/>
        <v>200</v>
      </c>
      <c r="AP10" s="24">
        <f t="shared" si="0"/>
        <v>1950</v>
      </c>
      <c r="AQ10" s="24">
        <f t="shared" si="1"/>
        <v>996</v>
      </c>
      <c r="AR10" s="24">
        <f t="shared" si="2"/>
        <v>5405.5871875000003</v>
      </c>
      <c r="AS10" s="25" t="s">
        <v>63</v>
      </c>
      <c r="AT10" s="26">
        <v>0</v>
      </c>
    </row>
    <row r="11" spans="1:46" ht="30" x14ac:dyDescent="0.25">
      <c r="A11" s="7">
        <v>7</v>
      </c>
      <c r="B11" s="8" t="str">
        <f t="shared" si="3"/>
        <v>CFCP0611</v>
      </c>
      <c r="C11" s="8" t="s">
        <v>64</v>
      </c>
      <c r="D11" s="8" t="s">
        <v>91</v>
      </c>
      <c r="E11" s="9" t="s">
        <v>92</v>
      </c>
      <c r="F11" s="8" t="s">
        <v>55</v>
      </c>
      <c r="G11" s="8" t="s">
        <v>78</v>
      </c>
      <c r="H11" s="10" t="s">
        <v>68</v>
      </c>
      <c r="I11" s="11" t="s">
        <v>58</v>
      </c>
      <c r="J11" s="12">
        <v>44775</v>
      </c>
      <c r="K11" s="13" t="s">
        <v>93</v>
      </c>
      <c r="L11" s="14">
        <v>647702010005843</v>
      </c>
      <c r="M11" s="14" t="s">
        <v>94</v>
      </c>
      <c r="N11" s="14">
        <v>101896720247</v>
      </c>
      <c r="O11" s="13">
        <v>3813590485</v>
      </c>
      <c r="P11" s="15">
        <v>0</v>
      </c>
      <c r="Q11" s="16" t="s">
        <v>62</v>
      </c>
      <c r="R11" s="17">
        <v>489.5</v>
      </c>
      <c r="S11" s="18">
        <f t="shared" si="4"/>
        <v>7342.5</v>
      </c>
      <c r="T11" s="8">
        <v>6</v>
      </c>
      <c r="U11" s="19">
        <v>0</v>
      </c>
      <c r="V11" s="19">
        <v>4.5</v>
      </c>
      <c r="W11" s="19">
        <v>1</v>
      </c>
      <c r="X11" s="19">
        <v>0</v>
      </c>
      <c r="Y11" s="19">
        <v>4</v>
      </c>
      <c r="Z11" s="19">
        <v>17</v>
      </c>
      <c r="AA11" s="20">
        <f t="shared" si="5"/>
        <v>6</v>
      </c>
      <c r="AB11" s="21">
        <f t="shared" si="6"/>
        <v>28</v>
      </c>
      <c r="AC11" s="22">
        <f t="shared" si="7"/>
        <v>2937</v>
      </c>
      <c r="AD11" s="22">
        <f t="shared" si="8"/>
        <v>0</v>
      </c>
      <c r="AE11" s="18">
        <f t="shared" si="9"/>
        <v>550.6875</v>
      </c>
      <c r="AF11" s="18">
        <v>0</v>
      </c>
      <c r="AG11" s="18">
        <f>VLOOKUP(D11,[2]Sheet1!$B$3:$D$50,3,0)</f>
        <v>22954</v>
      </c>
      <c r="AH11" s="23">
        <f t="shared" si="10"/>
        <v>26441.6875</v>
      </c>
      <c r="AI11" s="18">
        <v>23003</v>
      </c>
      <c r="AJ11" s="18">
        <f>VLOOKUP(D11,[1]Sheet1!$D$6:$DR$155,119,0)</f>
        <v>0</v>
      </c>
      <c r="AK11" s="18">
        <f>VLOOKUP(D11,[1]Sheet1!$D$6:$DQ$155,118,0)</f>
        <v>0</v>
      </c>
      <c r="AL11" s="23">
        <f t="shared" si="11"/>
        <v>3438.6875</v>
      </c>
      <c r="AM11" s="24">
        <f t="shared" si="12"/>
        <v>1800</v>
      </c>
      <c r="AN11" s="24">
        <f t="shared" si="13"/>
        <v>198.31265625</v>
      </c>
      <c r="AO11" s="24">
        <f t="shared" si="14"/>
        <v>200</v>
      </c>
      <c r="AP11" s="24">
        <f t="shared" si="0"/>
        <v>1950</v>
      </c>
      <c r="AQ11" s="24">
        <f t="shared" si="1"/>
        <v>859</v>
      </c>
      <c r="AR11" s="24">
        <f t="shared" si="2"/>
        <v>1240.3748437499999</v>
      </c>
      <c r="AS11" s="25" t="s">
        <v>63</v>
      </c>
      <c r="AT11" s="26">
        <v>0</v>
      </c>
    </row>
    <row r="12" spans="1:46" ht="30" x14ac:dyDescent="0.25">
      <c r="A12" s="7">
        <v>8</v>
      </c>
      <c r="B12" s="8" t="str">
        <f t="shared" si="3"/>
        <v>NUC1004</v>
      </c>
      <c r="C12" s="8" t="s">
        <v>64</v>
      </c>
      <c r="D12" s="8" t="s">
        <v>95</v>
      </c>
      <c r="E12" s="9" t="s">
        <v>96</v>
      </c>
      <c r="F12" s="8" t="s">
        <v>55</v>
      </c>
      <c r="G12" s="8" t="s">
        <v>78</v>
      </c>
      <c r="H12" s="10" t="s">
        <v>84</v>
      </c>
      <c r="I12" s="11" t="s">
        <v>58</v>
      </c>
      <c r="J12" s="12">
        <v>45660</v>
      </c>
      <c r="K12" s="13" t="s">
        <v>69</v>
      </c>
      <c r="L12" s="14" t="s">
        <v>97</v>
      </c>
      <c r="M12" s="14" t="s">
        <v>71</v>
      </c>
      <c r="N12" s="14">
        <v>102163774368</v>
      </c>
      <c r="O12" s="13">
        <v>3813367082</v>
      </c>
      <c r="P12" s="15">
        <v>0</v>
      </c>
      <c r="Q12" s="16" t="s">
        <v>62</v>
      </c>
      <c r="R12" s="17">
        <v>489.5</v>
      </c>
      <c r="S12" s="18">
        <f t="shared" si="4"/>
        <v>7342.5</v>
      </c>
      <c r="T12" s="8">
        <v>24</v>
      </c>
      <c r="U12" s="19">
        <v>0</v>
      </c>
      <c r="V12" s="19">
        <v>18</v>
      </c>
      <c r="W12" s="19">
        <v>0</v>
      </c>
      <c r="X12" s="19">
        <v>0</v>
      </c>
      <c r="Y12" s="19">
        <v>4</v>
      </c>
      <c r="Z12" s="19">
        <v>0</v>
      </c>
      <c r="AA12" s="20">
        <f t="shared" si="5"/>
        <v>24</v>
      </c>
      <c r="AB12" s="21">
        <f t="shared" si="6"/>
        <v>28</v>
      </c>
      <c r="AC12" s="22">
        <f t="shared" si="7"/>
        <v>11748</v>
      </c>
      <c r="AD12" s="22">
        <f t="shared" si="8"/>
        <v>0</v>
      </c>
      <c r="AE12" s="18">
        <f t="shared" si="9"/>
        <v>2202.75</v>
      </c>
      <c r="AF12" s="18">
        <v>0</v>
      </c>
      <c r="AG12" s="18">
        <v>0</v>
      </c>
      <c r="AH12" s="23">
        <f t="shared" si="10"/>
        <v>13950.75</v>
      </c>
      <c r="AI12" s="18">
        <v>2333</v>
      </c>
      <c r="AJ12" s="18">
        <f>VLOOKUP(D12,[1]Sheet1!$D$6:$DR$155,119,0)</f>
        <v>0</v>
      </c>
      <c r="AK12" s="18">
        <f>VLOOKUP(D12,[1]Sheet1!$D$6:$DQ$155,118,0)</f>
        <v>0</v>
      </c>
      <c r="AL12" s="23">
        <f t="shared" si="11"/>
        <v>11617.75</v>
      </c>
      <c r="AM12" s="24">
        <f t="shared" si="12"/>
        <v>1674.09</v>
      </c>
      <c r="AN12" s="24">
        <f t="shared" si="13"/>
        <v>104.63062499999999</v>
      </c>
      <c r="AO12" s="24">
        <f t="shared" si="14"/>
        <v>200</v>
      </c>
      <c r="AP12" s="24">
        <f t="shared" si="0"/>
        <v>1814</v>
      </c>
      <c r="AQ12" s="24">
        <f t="shared" si="1"/>
        <v>453</v>
      </c>
      <c r="AR12" s="24">
        <f t="shared" si="2"/>
        <v>9639.0293750000001</v>
      </c>
      <c r="AS12" s="25" t="s">
        <v>63</v>
      </c>
      <c r="AT12" s="26">
        <v>0</v>
      </c>
    </row>
    <row r="13" spans="1:46" ht="30" x14ac:dyDescent="0.25">
      <c r="A13" s="7">
        <v>9</v>
      </c>
      <c r="B13" s="8" t="str">
        <f t="shared" si="3"/>
        <v>NUC1005</v>
      </c>
      <c r="C13" s="8" t="s">
        <v>64</v>
      </c>
      <c r="D13" s="8" t="s">
        <v>98</v>
      </c>
      <c r="E13" s="9" t="s">
        <v>99</v>
      </c>
      <c r="F13" s="8" t="s">
        <v>55</v>
      </c>
      <c r="G13" s="8" t="s">
        <v>78</v>
      </c>
      <c r="H13" s="10" t="s">
        <v>84</v>
      </c>
      <c r="I13" s="11" t="s">
        <v>58</v>
      </c>
      <c r="J13" s="12">
        <v>45661</v>
      </c>
      <c r="K13" s="13" t="s">
        <v>93</v>
      </c>
      <c r="L13" s="14">
        <v>647702010005847</v>
      </c>
      <c r="M13" s="14" t="s">
        <v>94</v>
      </c>
      <c r="N13" s="14">
        <v>101978144610</v>
      </c>
      <c r="O13" s="13">
        <v>3813590512</v>
      </c>
      <c r="P13" s="15">
        <v>0</v>
      </c>
      <c r="Q13" s="16" t="s">
        <v>62</v>
      </c>
      <c r="R13" s="17">
        <v>489.5</v>
      </c>
      <c r="S13" s="18">
        <f t="shared" si="4"/>
        <v>7342.5</v>
      </c>
      <c r="T13" s="8">
        <v>24</v>
      </c>
      <c r="U13" s="19">
        <v>0</v>
      </c>
      <c r="V13" s="19">
        <v>39.5</v>
      </c>
      <c r="W13" s="19">
        <v>0</v>
      </c>
      <c r="X13" s="19">
        <v>0</v>
      </c>
      <c r="Y13" s="19">
        <v>4</v>
      </c>
      <c r="Z13" s="19">
        <v>0</v>
      </c>
      <c r="AA13" s="20">
        <f t="shared" si="5"/>
        <v>24</v>
      </c>
      <c r="AB13" s="21">
        <f t="shared" si="6"/>
        <v>28</v>
      </c>
      <c r="AC13" s="22">
        <f t="shared" si="7"/>
        <v>11748</v>
      </c>
      <c r="AD13" s="22">
        <f t="shared" si="8"/>
        <v>0</v>
      </c>
      <c r="AE13" s="18">
        <f t="shared" si="9"/>
        <v>4833.8125</v>
      </c>
      <c r="AF13" s="18">
        <v>0</v>
      </c>
      <c r="AG13" s="18">
        <v>0</v>
      </c>
      <c r="AH13" s="23">
        <f t="shared" si="10"/>
        <v>16581.8125</v>
      </c>
      <c r="AI13" s="18">
        <v>2333</v>
      </c>
      <c r="AJ13" s="18">
        <f>VLOOKUP(D13,[1]Sheet1!$D$6:$DR$155,119,0)</f>
        <v>0</v>
      </c>
      <c r="AK13" s="18">
        <f>VLOOKUP(D13,[1]Sheet1!$D$6:$DQ$155,118,0)</f>
        <v>0</v>
      </c>
      <c r="AL13" s="23">
        <f t="shared" si="11"/>
        <v>14248.8125</v>
      </c>
      <c r="AM13" s="24">
        <f t="shared" si="12"/>
        <v>1800</v>
      </c>
      <c r="AN13" s="24">
        <f t="shared" si="13"/>
        <v>124.36359374999999</v>
      </c>
      <c r="AO13" s="24">
        <f t="shared" si="14"/>
        <v>200</v>
      </c>
      <c r="AP13" s="24">
        <f t="shared" si="0"/>
        <v>1950</v>
      </c>
      <c r="AQ13" s="24">
        <f t="shared" si="1"/>
        <v>539</v>
      </c>
      <c r="AR13" s="24">
        <f t="shared" si="2"/>
        <v>12124.44890625</v>
      </c>
      <c r="AS13" s="25" t="s">
        <v>63</v>
      </c>
      <c r="AT13" s="26">
        <v>0</v>
      </c>
    </row>
    <row r="14" spans="1:46" ht="30" x14ac:dyDescent="0.25">
      <c r="A14" s="7">
        <v>10</v>
      </c>
      <c r="B14" s="8" t="str">
        <f t="shared" si="3"/>
        <v>NUC1014</v>
      </c>
      <c r="C14" s="8" t="s">
        <v>64</v>
      </c>
      <c r="D14" s="8" t="s">
        <v>100</v>
      </c>
      <c r="E14" s="9" t="s">
        <v>101</v>
      </c>
      <c r="F14" s="8" t="s">
        <v>55</v>
      </c>
      <c r="G14" s="8" t="s">
        <v>83</v>
      </c>
      <c r="H14" s="10" t="s">
        <v>102</v>
      </c>
      <c r="I14" s="11" t="s">
        <v>58</v>
      </c>
      <c r="J14" s="12">
        <v>45673</v>
      </c>
      <c r="K14" s="13" t="s">
        <v>69</v>
      </c>
      <c r="L14" s="14" t="s">
        <v>103</v>
      </c>
      <c r="M14" s="14" t="s">
        <v>71</v>
      </c>
      <c r="N14" s="14">
        <v>102163774296</v>
      </c>
      <c r="O14" s="13">
        <v>3813367137</v>
      </c>
      <c r="P14" s="15">
        <v>0</v>
      </c>
      <c r="Q14" s="16" t="s">
        <v>62</v>
      </c>
      <c r="R14" s="17">
        <v>489.5</v>
      </c>
      <c r="S14" s="18">
        <f t="shared" si="4"/>
        <v>7342.5</v>
      </c>
      <c r="T14" s="8">
        <v>0</v>
      </c>
      <c r="U14" s="19">
        <v>0</v>
      </c>
      <c r="V14" s="19">
        <v>13.5</v>
      </c>
      <c r="W14" s="19">
        <v>0</v>
      </c>
      <c r="X14" s="19">
        <v>0</v>
      </c>
      <c r="Y14" s="19">
        <v>4</v>
      </c>
      <c r="Z14" s="19">
        <v>24</v>
      </c>
      <c r="AA14" s="20">
        <f t="shared" si="5"/>
        <v>0</v>
      </c>
      <c r="AB14" s="21">
        <f t="shared" si="6"/>
        <v>28</v>
      </c>
      <c r="AC14" s="22">
        <f t="shared" si="7"/>
        <v>0</v>
      </c>
      <c r="AD14" s="22">
        <f t="shared" si="8"/>
        <v>0</v>
      </c>
      <c r="AE14" s="18">
        <f t="shared" si="9"/>
        <v>1652.0625</v>
      </c>
      <c r="AF14" s="18">
        <v>0</v>
      </c>
      <c r="AG14" s="18">
        <f>VLOOKUP(D14,[2]Sheet1!$B$3:$D$50,3,0)</f>
        <v>28109</v>
      </c>
      <c r="AH14" s="23">
        <f t="shared" si="10"/>
        <v>29761.0625</v>
      </c>
      <c r="AI14" s="18">
        <v>0</v>
      </c>
      <c r="AJ14" s="18">
        <f>VLOOKUP(D14,[1]Sheet1!$D$6:$DR$155,119,0)</f>
        <v>600</v>
      </c>
      <c r="AK14" s="18">
        <f>VLOOKUP(D14,[1]Sheet1!$D$6:$DQ$155,118,0)</f>
        <v>0</v>
      </c>
      <c r="AL14" s="23">
        <f t="shared" si="11"/>
        <v>29161.0625</v>
      </c>
      <c r="AM14" s="24">
        <f t="shared" si="12"/>
        <v>1800</v>
      </c>
      <c r="AN14" s="24">
        <f t="shared" si="13"/>
        <v>223.20796874999999</v>
      </c>
      <c r="AO14" s="24">
        <f t="shared" si="14"/>
        <v>200</v>
      </c>
      <c r="AP14" s="24">
        <f t="shared" si="0"/>
        <v>1950</v>
      </c>
      <c r="AQ14" s="24">
        <f t="shared" si="1"/>
        <v>967</v>
      </c>
      <c r="AR14" s="24">
        <f t="shared" si="2"/>
        <v>26937.854531249999</v>
      </c>
      <c r="AS14" s="25" t="s">
        <v>63</v>
      </c>
      <c r="AT14" s="26">
        <v>0</v>
      </c>
    </row>
    <row r="15" spans="1:46" ht="30" x14ac:dyDescent="0.25">
      <c r="A15" s="7">
        <v>11</v>
      </c>
      <c r="B15" s="8" t="str">
        <f t="shared" si="3"/>
        <v>NUC0064</v>
      </c>
      <c r="C15" s="8" t="s">
        <v>64</v>
      </c>
      <c r="D15" s="8" t="s">
        <v>104</v>
      </c>
      <c r="E15" s="9" t="s">
        <v>105</v>
      </c>
      <c r="F15" s="8" t="s">
        <v>55</v>
      </c>
      <c r="G15" s="8" t="s">
        <v>83</v>
      </c>
      <c r="H15" s="10" t="s">
        <v>102</v>
      </c>
      <c r="I15" s="11" t="s">
        <v>58</v>
      </c>
      <c r="J15" s="12">
        <v>44007</v>
      </c>
      <c r="K15" s="13" t="s">
        <v>93</v>
      </c>
      <c r="L15" s="14">
        <v>673302010002738</v>
      </c>
      <c r="M15" s="14" t="s">
        <v>106</v>
      </c>
      <c r="N15" s="14">
        <v>101001528088</v>
      </c>
      <c r="O15" s="13">
        <v>3811378551</v>
      </c>
      <c r="P15" s="15">
        <v>0</v>
      </c>
      <c r="Q15" s="16" t="s">
        <v>62</v>
      </c>
      <c r="R15" s="17">
        <v>489.5</v>
      </c>
      <c r="S15" s="18">
        <f t="shared" si="4"/>
        <v>7342.5</v>
      </c>
      <c r="T15" s="8">
        <v>0</v>
      </c>
      <c r="U15" s="19">
        <v>0</v>
      </c>
      <c r="V15" s="19">
        <v>9</v>
      </c>
      <c r="W15" s="19">
        <v>0</v>
      </c>
      <c r="X15" s="19">
        <v>0</v>
      </c>
      <c r="Y15" s="19">
        <v>4</v>
      </c>
      <c r="Z15" s="19">
        <v>24</v>
      </c>
      <c r="AA15" s="20">
        <f t="shared" si="5"/>
        <v>0</v>
      </c>
      <c r="AB15" s="21">
        <f t="shared" si="6"/>
        <v>28</v>
      </c>
      <c r="AC15" s="22">
        <f t="shared" si="7"/>
        <v>0</v>
      </c>
      <c r="AD15" s="22">
        <f t="shared" si="8"/>
        <v>0</v>
      </c>
      <c r="AE15" s="18">
        <f t="shared" si="9"/>
        <v>1101.375</v>
      </c>
      <c r="AF15" s="18">
        <v>0</v>
      </c>
      <c r="AG15" s="18">
        <f>VLOOKUP(D15,[2]Sheet1!$B$3:$D$50,3,0)</f>
        <v>38994</v>
      </c>
      <c r="AH15" s="23">
        <f t="shared" si="10"/>
        <v>40095.375</v>
      </c>
      <c r="AI15" s="18">
        <v>0</v>
      </c>
      <c r="AJ15" s="18">
        <f>VLOOKUP(D15,[1]Sheet1!$D$6:$DR$155,119,0)</f>
        <v>0</v>
      </c>
      <c r="AK15" s="18">
        <f>VLOOKUP(D15,[1]Sheet1!$D$6:$DQ$155,118,0)</f>
        <v>0</v>
      </c>
      <c r="AL15" s="23">
        <f t="shared" si="11"/>
        <v>40095.375</v>
      </c>
      <c r="AM15" s="24">
        <f t="shared" si="12"/>
        <v>1800</v>
      </c>
      <c r="AN15" s="24">
        <f t="shared" si="13"/>
        <v>300.71531249999998</v>
      </c>
      <c r="AO15" s="24">
        <f t="shared" si="14"/>
        <v>200</v>
      </c>
      <c r="AP15" s="24">
        <f t="shared" si="0"/>
        <v>1950</v>
      </c>
      <c r="AQ15" s="24">
        <f t="shared" si="1"/>
        <v>1303</v>
      </c>
      <c r="AR15" s="24">
        <f t="shared" si="2"/>
        <v>37794.659687500003</v>
      </c>
      <c r="AS15" s="25" t="s">
        <v>63</v>
      </c>
      <c r="AT15" s="26">
        <v>0</v>
      </c>
    </row>
    <row r="16" spans="1:46" ht="30" x14ac:dyDescent="0.25">
      <c r="A16" s="7">
        <v>12</v>
      </c>
      <c r="B16" s="8" t="str">
        <f t="shared" si="3"/>
        <v>NPIP0090</v>
      </c>
      <c r="C16" s="8" t="s">
        <v>64</v>
      </c>
      <c r="D16" s="8" t="s">
        <v>107</v>
      </c>
      <c r="E16" s="9" t="s">
        <v>108</v>
      </c>
      <c r="F16" s="8" t="s">
        <v>55</v>
      </c>
      <c r="G16" s="8" t="s">
        <v>67</v>
      </c>
      <c r="H16" s="10" t="s">
        <v>84</v>
      </c>
      <c r="I16" s="11" t="s">
        <v>58</v>
      </c>
      <c r="J16" s="12">
        <v>45542</v>
      </c>
      <c r="K16" s="13" t="s">
        <v>93</v>
      </c>
      <c r="L16" s="14">
        <v>673302120000163</v>
      </c>
      <c r="M16" s="14" t="s">
        <v>106</v>
      </c>
      <c r="N16" s="14">
        <v>100107648057</v>
      </c>
      <c r="O16" s="13" t="s">
        <v>109</v>
      </c>
      <c r="P16" s="15">
        <v>0</v>
      </c>
      <c r="Q16" s="16" t="s">
        <v>62</v>
      </c>
      <c r="R16" s="17">
        <v>489.5</v>
      </c>
      <c r="S16" s="18">
        <f t="shared" si="4"/>
        <v>7342.5</v>
      </c>
      <c r="T16" s="8">
        <v>1</v>
      </c>
      <c r="U16" s="19">
        <v>0</v>
      </c>
      <c r="V16" s="19">
        <v>6.5</v>
      </c>
      <c r="W16" s="19">
        <v>0</v>
      </c>
      <c r="X16" s="19">
        <v>0</v>
      </c>
      <c r="Y16" s="19">
        <v>2</v>
      </c>
      <c r="Z16" s="19">
        <v>25</v>
      </c>
      <c r="AA16" s="20">
        <f t="shared" si="5"/>
        <v>1</v>
      </c>
      <c r="AB16" s="21">
        <f t="shared" si="6"/>
        <v>28</v>
      </c>
      <c r="AC16" s="22">
        <f t="shared" si="7"/>
        <v>489.5</v>
      </c>
      <c r="AD16" s="22">
        <f t="shared" si="8"/>
        <v>0</v>
      </c>
      <c r="AE16" s="18">
        <f t="shared" si="9"/>
        <v>795.4375</v>
      </c>
      <c r="AF16" s="18">
        <v>0</v>
      </c>
      <c r="AG16" s="18">
        <f>VLOOKUP(D16,[2]Sheet1!$B$3:$D$50,3,0)</f>
        <v>37200</v>
      </c>
      <c r="AH16" s="23">
        <f t="shared" si="10"/>
        <v>38484.9375</v>
      </c>
      <c r="AI16" s="18">
        <v>0</v>
      </c>
      <c r="AJ16" s="18">
        <f>VLOOKUP(D16,[1]Sheet1!$D$6:$DR$155,119,0)</f>
        <v>0</v>
      </c>
      <c r="AK16" s="18">
        <f>VLOOKUP(D16,[1]Sheet1!$D$6:$DQ$155,118,0)</f>
        <v>0</v>
      </c>
      <c r="AL16" s="23">
        <f t="shared" si="11"/>
        <v>38484.9375</v>
      </c>
      <c r="AM16" s="24">
        <f t="shared" si="12"/>
        <v>1800</v>
      </c>
      <c r="AN16" s="24">
        <f t="shared" si="13"/>
        <v>288.63703125000001</v>
      </c>
      <c r="AO16" s="24">
        <f t="shared" si="14"/>
        <v>200</v>
      </c>
      <c r="AP16" s="24">
        <f t="shared" si="0"/>
        <v>1950</v>
      </c>
      <c r="AQ16" s="24">
        <f t="shared" si="1"/>
        <v>1251</v>
      </c>
      <c r="AR16" s="24">
        <f t="shared" si="2"/>
        <v>36196.30046875</v>
      </c>
      <c r="AS16" s="25" t="s">
        <v>63</v>
      </c>
      <c r="AT16" s="26">
        <v>0</v>
      </c>
    </row>
    <row r="17" spans="1:46" ht="30" x14ac:dyDescent="0.25">
      <c r="A17" s="7">
        <v>13</v>
      </c>
      <c r="B17" s="8" t="str">
        <f t="shared" si="3"/>
        <v>NUC1013</v>
      </c>
      <c r="C17" s="8" t="s">
        <v>64</v>
      </c>
      <c r="D17" s="8" t="s">
        <v>110</v>
      </c>
      <c r="E17" s="9" t="s">
        <v>111</v>
      </c>
      <c r="F17" s="8" t="s">
        <v>55</v>
      </c>
      <c r="G17" s="8" t="s">
        <v>83</v>
      </c>
      <c r="H17" s="10" t="s">
        <v>102</v>
      </c>
      <c r="I17" s="11" t="s">
        <v>58</v>
      </c>
      <c r="J17" s="12">
        <v>45673</v>
      </c>
      <c r="K17" s="13" t="s">
        <v>69</v>
      </c>
      <c r="L17" s="14" t="s">
        <v>112</v>
      </c>
      <c r="M17" s="14" t="s">
        <v>71</v>
      </c>
      <c r="N17" s="14">
        <v>102163774220</v>
      </c>
      <c r="O17" s="13">
        <v>3813367130</v>
      </c>
      <c r="P17" s="15">
        <v>0</v>
      </c>
      <c r="Q17" s="16" t="s">
        <v>62</v>
      </c>
      <c r="R17" s="17">
        <v>489.5</v>
      </c>
      <c r="S17" s="18">
        <f t="shared" si="4"/>
        <v>7342.5</v>
      </c>
      <c r="T17" s="8">
        <v>0</v>
      </c>
      <c r="U17" s="19">
        <v>0</v>
      </c>
      <c r="V17" s="19">
        <v>13.5</v>
      </c>
      <c r="W17" s="19">
        <v>0</v>
      </c>
      <c r="X17" s="19">
        <v>0</v>
      </c>
      <c r="Y17" s="19">
        <v>4</v>
      </c>
      <c r="Z17" s="19">
        <v>24</v>
      </c>
      <c r="AA17" s="20">
        <f t="shared" si="5"/>
        <v>0</v>
      </c>
      <c r="AB17" s="21">
        <f t="shared" si="6"/>
        <v>28</v>
      </c>
      <c r="AC17" s="22">
        <f t="shared" si="7"/>
        <v>0</v>
      </c>
      <c r="AD17" s="22">
        <f t="shared" si="8"/>
        <v>0</v>
      </c>
      <c r="AE17" s="18">
        <f t="shared" si="9"/>
        <v>1652.0625</v>
      </c>
      <c r="AF17" s="18">
        <v>0</v>
      </c>
      <c r="AG17" s="18">
        <f>VLOOKUP(D17,[2]Sheet1!$B$3:$D$50,3,0)</f>
        <v>28465</v>
      </c>
      <c r="AH17" s="23">
        <f t="shared" si="10"/>
        <v>30117.0625</v>
      </c>
      <c r="AI17" s="18">
        <v>0</v>
      </c>
      <c r="AJ17" s="18">
        <f>VLOOKUP(D17,[1]Sheet1!$D$6:$DR$155,119,0)</f>
        <v>200</v>
      </c>
      <c r="AK17" s="18">
        <f>VLOOKUP(D17,[1]Sheet1!$D$6:$DQ$155,118,0)</f>
        <v>0</v>
      </c>
      <c r="AL17" s="23">
        <f t="shared" si="11"/>
        <v>29917.0625</v>
      </c>
      <c r="AM17" s="24">
        <f t="shared" si="12"/>
        <v>1800</v>
      </c>
      <c r="AN17" s="24">
        <f t="shared" si="13"/>
        <v>225.87796874999998</v>
      </c>
      <c r="AO17" s="24">
        <f t="shared" si="14"/>
        <v>200</v>
      </c>
      <c r="AP17" s="24">
        <f t="shared" si="0"/>
        <v>1950</v>
      </c>
      <c r="AQ17" s="24">
        <f t="shared" si="1"/>
        <v>979</v>
      </c>
      <c r="AR17" s="24">
        <f t="shared" si="2"/>
        <v>27691.184531250001</v>
      </c>
      <c r="AS17" s="25" t="s">
        <v>63</v>
      </c>
      <c r="AT17" s="26">
        <v>0</v>
      </c>
    </row>
    <row r="18" spans="1:46" ht="30" x14ac:dyDescent="0.25">
      <c r="A18" s="7">
        <v>14</v>
      </c>
      <c r="B18" s="8" t="str">
        <f t="shared" si="3"/>
        <v>NUC0035</v>
      </c>
      <c r="C18" s="8" t="s">
        <v>64</v>
      </c>
      <c r="D18" s="8" t="s">
        <v>113</v>
      </c>
      <c r="E18" s="9" t="s">
        <v>114</v>
      </c>
      <c r="F18" s="8" t="s">
        <v>55</v>
      </c>
      <c r="G18" s="8" t="s">
        <v>83</v>
      </c>
      <c r="H18" s="10" t="s">
        <v>84</v>
      </c>
      <c r="I18" s="11" t="s">
        <v>58</v>
      </c>
      <c r="J18" s="12">
        <v>44189</v>
      </c>
      <c r="K18" s="13" t="s">
        <v>69</v>
      </c>
      <c r="L18" s="14" t="s">
        <v>115</v>
      </c>
      <c r="M18" s="14" t="s">
        <v>71</v>
      </c>
      <c r="N18" s="14">
        <v>101084910773</v>
      </c>
      <c r="O18" s="13">
        <v>3811378569</v>
      </c>
      <c r="P18" s="15">
        <v>0</v>
      </c>
      <c r="Q18" s="16" t="s">
        <v>62</v>
      </c>
      <c r="R18" s="17">
        <v>489.5</v>
      </c>
      <c r="S18" s="18">
        <f t="shared" si="4"/>
        <v>7342.5</v>
      </c>
      <c r="T18" s="8">
        <v>0</v>
      </c>
      <c r="U18" s="19">
        <v>0</v>
      </c>
      <c r="V18" s="19">
        <v>0</v>
      </c>
      <c r="W18" s="19">
        <v>0</v>
      </c>
      <c r="X18" s="19">
        <v>0</v>
      </c>
      <c r="Y18" s="19">
        <v>4</v>
      </c>
      <c r="Z18" s="19">
        <v>24</v>
      </c>
      <c r="AA18" s="20">
        <f t="shared" si="5"/>
        <v>0</v>
      </c>
      <c r="AB18" s="21">
        <f t="shared" si="6"/>
        <v>28</v>
      </c>
      <c r="AC18" s="22">
        <f t="shared" si="7"/>
        <v>0</v>
      </c>
      <c r="AD18" s="22">
        <f t="shared" si="8"/>
        <v>0</v>
      </c>
      <c r="AE18" s="18">
        <f t="shared" si="9"/>
        <v>0</v>
      </c>
      <c r="AF18" s="18">
        <v>0</v>
      </c>
      <c r="AG18" s="18">
        <f>VLOOKUP(D18,[2]Sheet1!$B$3:$D$50,3,0)</f>
        <v>28542.666666666668</v>
      </c>
      <c r="AH18" s="23">
        <f t="shared" si="10"/>
        <v>28542.666666666668</v>
      </c>
      <c r="AI18" s="18">
        <v>0</v>
      </c>
      <c r="AJ18" s="18">
        <f>VLOOKUP(D18,[1]Sheet1!$D$6:$DR$155,119,0)</f>
        <v>400</v>
      </c>
      <c r="AK18" s="18">
        <f>VLOOKUP(D18,[1]Sheet1!$D$6:$DQ$155,118,0)</f>
        <v>0</v>
      </c>
      <c r="AL18" s="23">
        <f t="shared" si="11"/>
        <v>28142.666666666668</v>
      </c>
      <c r="AM18" s="24">
        <f t="shared" si="12"/>
        <v>1800</v>
      </c>
      <c r="AN18" s="24">
        <f t="shared" si="13"/>
        <v>214.07</v>
      </c>
      <c r="AO18" s="24">
        <f t="shared" si="14"/>
        <v>200</v>
      </c>
      <c r="AP18" s="24">
        <f t="shared" si="0"/>
        <v>1950</v>
      </c>
      <c r="AQ18" s="24">
        <f t="shared" si="1"/>
        <v>928</v>
      </c>
      <c r="AR18" s="24">
        <f t="shared" si="2"/>
        <v>25928.596666666668</v>
      </c>
      <c r="AS18" s="25" t="s">
        <v>63</v>
      </c>
      <c r="AT18" s="26">
        <v>0</v>
      </c>
    </row>
    <row r="19" spans="1:46" ht="30" x14ac:dyDescent="0.25">
      <c r="A19" s="7">
        <v>15</v>
      </c>
      <c r="B19" s="8" t="str">
        <f t="shared" si="3"/>
        <v>NPIP0104</v>
      </c>
      <c r="C19" s="8" t="s">
        <v>64</v>
      </c>
      <c r="D19" s="8" t="s">
        <v>116</v>
      </c>
      <c r="E19" s="9" t="s">
        <v>117</v>
      </c>
      <c r="F19" s="8" t="s">
        <v>55</v>
      </c>
      <c r="G19" s="8" t="s">
        <v>67</v>
      </c>
      <c r="H19" s="10" t="s">
        <v>68</v>
      </c>
      <c r="I19" s="11" t="s">
        <v>58</v>
      </c>
      <c r="J19" s="12">
        <v>45895</v>
      </c>
      <c r="K19" s="13" t="s">
        <v>93</v>
      </c>
      <c r="L19" s="14" t="s">
        <v>118</v>
      </c>
      <c r="M19" s="14" t="s">
        <v>106</v>
      </c>
      <c r="N19" s="14">
        <v>101012437857</v>
      </c>
      <c r="O19" s="13">
        <v>3811374114</v>
      </c>
      <c r="P19" s="15">
        <v>0</v>
      </c>
      <c r="Q19" s="16" t="s">
        <v>62</v>
      </c>
      <c r="R19" s="17">
        <v>489.5</v>
      </c>
      <c r="S19" s="18">
        <f t="shared" si="4"/>
        <v>7342.5</v>
      </c>
      <c r="T19" s="8">
        <v>1</v>
      </c>
      <c r="U19" s="19">
        <v>0</v>
      </c>
      <c r="V19" s="19">
        <v>6.5</v>
      </c>
      <c r="W19" s="19">
        <v>0</v>
      </c>
      <c r="X19" s="19">
        <v>0</v>
      </c>
      <c r="Y19" s="19">
        <v>2</v>
      </c>
      <c r="Z19" s="19">
        <v>25</v>
      </c>
      <c r="AA19" s="20">
        <f t="shared" si="5"/>
        <v>1</v>
      </c>
      <c r="AB19" s="21">
        <f t="shared" si="6"/>
        <v>28</v>
      </c>
      <c r="AC19" s="22">
        <f t="shared" si="7"/>
        <v>489.5</v>
      </c>
      <c r="AD19" s="22">
        <f t="shared" si="8"/>
        <v>0</v>
      </c>
      <c r="AE19" s="18">
        <f t="shared" si="9"/>
        <v>795.4375</v>
      </c>
      <c r="AF19" s="18">
        <v>0</v>
      </c>
      <c r="AG19" s="18">
        <f>VLOOKUP(D19,[2]Sheet1!$B$3:$D$50,3,0)</f>
        <v>18319</v>
      </c>
      <c r="AH19" s="23">
        <f t="shared" si="10"/>
        <v>19603.9375</v>
      </c>
      <c r="AI19" s="18">
        <v>0</v>
      </c>
      <c r="AJ19" s="18">
        <f>VLOOKUP(D19,[1]Sheet1!$D$6:$DR$155,119,0)</f>
        <v>0</v>
      </c>
      <c r="AK19" s="18">
        <f>VLOOKUP(D19,[1]Sheet1!$D$6:$DQ$155,118,0)</f>
        <v>0</v>
      </c>
      <c r="AL19" s="23">
        <f t="shared" si="11"/>
        <v>19603.9375</v>
      </c>
      <c r="AM19" s="24">
        <f t="shared" si="12"/>
        <v>1800</v>
      </c>
      <c r="AN19" s="24">
        <f t="shared" si="13"/>
        <v>147.02953124999999</v>
      </c>
      <c r="AO19" s="24">
        <f t="shared" si="14"/>
        <v>200</v>
      </c>
      <c r="AP19" s="24">
        <f t="shared" si="0"/>
        <v>1950</v>
      </c>
      <c r="AQ19" s="24">
        <f t="shared" si="1"/>
        <v>637</v>
      </c>
      <c r="AR19" s="24">
        <f t="shared" si="2"/>
        <v>17456.907968749998</v>
      </c>
      <c r="AS19" s="25" t="s">
        <v>63</v>
      </c>
      <c r="AT19" s="26">
        <v>0</v>
      </c>
    </row>
    <row r="20" spans="1:46" ht="30" x14ac:dyDescent="0.25">
      <c r="A20" s="7">
        <v>16</v>
      </c>
      <c r="B20" s="8" t="str">
        <f t="shared" si="3"/>
        <v>SHE201</v>
      </c>
      <c r="C20" s="8" t="s">
        <v>52</v>
      </c>
      <c r="D20" s="8" t="s">
        <v>119</v>
      </c>
      <c r="E20" s="9" t="s">
        <v>120</v>
      </c>
      <c r="F20" s="8" t="s">
        <v>55</v>
      </c>
      <c r="G20" s="8" t="s">
        <v>83</v>
      </c>
      <c r="H20" s="10" t="s">
        <v>121</v>
      </c>
      <c r="I20" s="11" t="s">
        <v>58</v>
      </c>
      <c r="J20" s="12">
        <v>44758</v>
      </c>
      <c r="K20" s="13" t="s">
        <v>59</v>
      </c>
      <c r="L20" s="14">
        <v>41337649888</v>
      </c>
      <c r="M20" s="14" t="s">
        <v>122</v>
      </c>
      <c r="N20" s="14">
        <v>101853684593</v>
      </c>
      <c r="O20" s="13">
        <v>3812498500</v>
      </c>
      <c r="P20" s="15">
        <v>0</v>
      </c>
      <c r="Q20" s="16" t="s">
        <v>62</v>
      </c>
      <c r="R20" s="17">
        <v>489.5</v>
      </c>
      <c r="S20" s="18">
        <f t="shared" si="4"/>
        <v>7342.5</v>
      </c>
      <c r="T20" s="8">
        <v>22</v>
      </c>
      <c r="U20" s="19">
        <v>0</v>
      </c>
      <c r="V20" s="19">
        <v>5.5</v>
      </c>
      <c r="W20" s="19">
        <v>2</v>
      </c>
      <c r="X20" s="19">
        <v>0</v>
      </c>
      <c r="Y20" s="19">
        <v>4</v>
      </c>
      <c r="Z20" s="19">
        <v>0</v>
      </c>
      <c r="AA20" s="20">
        <f t="shared" si="5"/>
        <v>22</v>
      </c>
      <c r="AB20" s="21">
        <f t="shared" si="6"/>
        <v>28</v>
      </c>
      <c r="AC20" s="22">
        <f t="shared" si="7"/>
        <v>10769</v>
      </c>
      <c r="AD20" s="22">
        <f t="shared" si="8"/>
        <v>0</v>
      </c>
      <c r="AE20" s="18">
        <f t="shared" si="9"/>
        <v>673.0625</v>
      </c>
      <c r="AF20" s="18">
        <v>0</v>
      </c>
      <c r="AG20" s="18">
        <v>0</v>
      </c>
      <c r="AH20" s="23">
        <f t="shared" si="10"/>
        <v>11442.0625</v>
      </c>
      <c r="AI20" s="18">
        <v>0</v>
      </c>
      <c r="AJ20" s="18">
        <f>VLOOKUP(D20,[1]Sheet1!$D$6:$DR$155,119,0)</f>
        <v>200</v>
      </c>
      <c r="AK20" s="18">
        <f>VLOOKUP(D20,[1]Sheet1!$D$6:$DQ$155,118,0)</f>
        <v>0</v>
      </c>
      <c r="AL20" s="23">
        <f t="shared" si="11"/>
        <v>11242.0625</v>
      </c>
      <c r="AM20" s="24">
        <f t="shared" si="12"/>
        <v>1373.0474999999999</v>
      </c>
      <c r="AN20" s="24">
        <f t="shared" si="13"/>
        <v>85.815468749999994</v>
      </c>
      <c r="AO20" s="24">
        <f t="shared" si="14"/>
        <v>0</v>
      </c>
      <c r="AP20" s="24">
        <f t="shared" si="0"/>
        <v>1487</v>
      </c>
      <c r="AQ20" s="24">
        <f t="shared" si="1"/>
        <v>372</v>
      </c>
      <c r="AR20" s="24">
        <f t="shared" si="2"/>
        <v>9783.1995312500003</v>
      </c>
      <c r="AS20" s="25" t="s">
        <v>63</v>
      </c>
      <c r="AT20" s="26">
        <v>0</v>
      </c>
    </row>
    <row r="21" spans="1:46" ht="30" x14ac:dyDescent="0.25">
      <c r="A21" s="7">
        <v>17</v>
      </c>
      <c r="B21" s="8" t="str">
        <f t="shared" si="3"/>
        <v>SHE203</v>
      </c>
      <c r="C21" s="8" t="s">
        <v>52</v>
      </c>
      <c r="D21" s="8" t="s">
        <v>123</v>
      </c>
      <c r="E21" s="9" t="s">
        <v>124</v>
      </c>
      <c r="F21" s="8" t="s">
        <v>55</v>
      </c>
      <c r="G21" s="8" t="s">
        <v>125</v>
      </c>
      <c r="H21" s="10" t="s">
        <v>125</v>
      </c>
      <c r="I21" s="11" t="s">
        <v>58</v>
      </c>
      <c r="J21" s="12">
        <v>44781</v>
      </c>
      <c r="K21" s="13" t="s">
        <v>59</v>
      </c>
      <c r="L21" s="14">
        <v>41058435258</v>
      </c>
      <c r="M21" s="14" t="s">
        <v>126</v>
      </c>
      <c r="N21" s="14">
        <v>101517065269</v>
      </c>
      <c r="O21" s="13">
        <v>3813476721</v>
      </c>
      <c r="P21" s="15">
        <v>0</v>
      </c>
      <c r="Q21" s="16" t="s">
        <v>62</v>
      </c>
      <c r="R21" s="17">
        <v>489.5</v>
      </c>
      <c r="S21" s="18">
        <f t="shared" si="4"/>
        <v>7342.5</v>
      </c>
      <c r="T21" s="8">
        <v>20</v>
      </c>
      <c r="U21" s="19">
        <v>0</v>
      </c>
      <c r="V21" s="19">
        <v>1</v>
      </c>
      <c r="W21" s="19">
        <v>4</v>
      </c>
      <c r="X21" s="19">
        <v>0</v>
      </c>
      <c r="Y21" s="19">
        <v>4</v>
      </c>
      <c r="Z21" s="19">
        <v>0</v>
      </c>
      <c r="AA21" s="20">
        <f t="shared" si="5"/>
        <v>20</v>
      </c>
      <c r="AB21" s="21">
        <f t="shared" si="6"/>
        <v>28</v>
      </c>
      <c r="AC21" s="22">
        <f t="shared" si="7"/>
        <v>9790</v>
      </c>
      <c r="AD21" s="22">
        <f t="shared" si="8"/>
        <v>0</v>
      </c>
      <c r="AE21" s="18">
        <f t="shared" si="9"/>
        <v>122.375</v>
      </c>
      <c r="AF21" s="18">
        <v>0</v>
      </c>
      <c r="AG21" s="18">
        <v>0</v>
      </c>
      <c r="AH21" s="23">
        <f t="shared" si="10"/>
        <v>9912.375</v>
      </c>
      <c r="AI21" s="18">
        <v>0</v>
      </c>
      <c r="AJ21" s="18">
        <f>VLOOKUP(D21,[1]Sheet1!$D$6:$DR$155,119,0)</f>
        <v>0</v>
      </c>
      <c r="AK21" s="18">
        <f>VLOOKUP(D21,[1]Sheet1!$D$6:$DQ$155,118,0)</f>
        <v>0</v>
      </c>
      <c r="AL21" s="23">
        <f t="shared" si="11"/>
        <v>9912.375</v>
      </c>
      <c r="AM21" s="24">
        <f t="shared" si="12"/>
        <v>1189.4849999999999</v>
      </c>
      <c r="AN21" s="24">
        <f t="shared" si="13"/>
        <v>74.342812499999994</v>
      </c>
      <c r="AO21" s="24">
        <f t="shared" si="14"/>
        <v>0</v>
      </c>
      <c r="AP21" s="24">
        <f t="shared" si="0"/>
        <v>1289</v>
      </c>
      <c r="AQ21" s="24">
        <f t="shared" si="1"/>
        <v>322</v>
      </c>
      <c r="AR21" s="24">
        <f t="shared" si="2"/>
        <v>8648.5471875000003</v>
      </c>
      <c r="AS21" s="25" t="s">
        <v>63</v>
      </c>
      <c r="AT21" s="26">
        <v>0</v>
      </c>
    </row>
    <row r="22" spans="1:46" ht="30" x14ac:dyDescent="0.25">
      <c r="A22" s="7">
        <v>18</v>
      </c>
      <c r="B22" s="8" t="str">
        <f t="shared" si="3"/>
        <v>SHE235</v>
      </c>
      <c r="C22" s="8" t="s">
        <v>52</v>
      </c>
      <c r="D22" s="8" t="s">
        <v>127</v>
      </c>
      <c r="E22" s="9" t="s">
        <v>128</v>
      </c>
      <c r="F22" s="8" t="s">
        <v>55</v>
      </c>
      <c r="G22" s="8" t="s">
        <v>83</v>
      </c>
      <c r="H22" s="10" t="s">
        <v>121</v>
      </c>
      <c r="I22" s="11" t="s">
        <v>58</v>
      </c>
      <c r="J22" s="12">
        <v>44896</v>
      </c>
      <c r="K22" s="13" t="s">
        <v>59</v>
      </c>
      <c r="L22" s="14">
        <v>41542677435</v>
      </c>
      <c r="M22" s="14" t="s">
        <v>126</v>
      </c>
      <c r="N22" s="14">
        <v>102296871573</v>
      </c>
      <c r="O22" s="13">
        <v>3813508255</v>
      </c>
      <c r="P22" s="15">
        <v>0</v>
      </c>
      <c r="Q22" s="16" t="s">
        <v>62</v>
      </c>
      <c r="R22" s="17">
        <v>489.5</v>
      </c>
      <c r="S22" s="18">
        <f t="shared" si="4"/>
        <v>7342.5</v>
      </c>
      <c r="T22" s="8">
        <v>22</v>
      </c>
      <c r="U22" s="19">
        <v>0</v>
      </c>
      <c r="V22" s="19">
        <v>4.5</v>
      </c>
      <c r="W22" s="19">
        <v>2</v>
      </c>
      <c r="X22" s="19">
        <v>0</v>
      </c>
      <c r="Y22" s="19">
        <v>4</v>
      </c>
      <c r="Z22" s="19">
        <v>0</v>
      </c>
      <c r="AA22" s="20">
        <f t="shared" si="5"/>
        <v>22</v>
      </c>
      <c r="AB22" s="21">
        <f t="shared" si="6"/>
        <v>28</v>
      </c>
      <c r="AC22" s="22">
        <f t="shared" si="7"/>
        <v>10769</v>
      </c>
      <c r="AD22" s="22">
        <f t="shared" si="8"/>
        <v>0</v>
      </c>
      <c r="AE22" s="18">
        <f t="shared" si="9"/>
        <v>550.6875</v>
      </c>
      <c r="AF22" s="18">
        <v>0</v>
      </c>
      <c r="AG22" s="18">
        <v>0</v>
      </c>
      <c r="AH22" s="23">
        <f t="shared" si="10"/>
        <v>11319.6875</v>
      </c>
      <c r="AI22" s="18">
        <v>0</v>
      </c>
      <c r="AJ22" s="18">
        <f>VLOOKUP(D22,[1]Sheet1!$D$6:$DR$155,119,0)</f>
        <v>400</v>
      </c>
      <c r="AK22" s="18">
        <f>VLOOKUP(D22,[1]Sheet1!$D$6:$DQ$155,118,0)</f>
        <v>0</v>
      </c>
      <c r="AL22" s="23">
        <f t="shared" si="11"/>
        <v>10919.6875</v>
      </c>
      <c r="AM22" s="24">
        <f t="shared" si="12"/>
        <v>1358.3625</v>
      </c>
      <c r="AN22" s="24">
        <f t="shared" si="13"/>
        <v>84.897656249999997</v>
      </c>
      <c r="AO22" s="24">
        <f t="shared" si="14"/>
        <v>0</v>
      </c>
      <c r="AP22" s="24">
        <f t="shared" si="0"/>
        <v>1472</v>
      </c>
      <c r="AQ22" s="24">
        <f t="shared" si="1"/>
        <v>368</v>
      </c>
      <c r="AR22" s="24">
        <f t="shared" si="2"/>
        <v>9476.4273437499996</v>
      </c>
      <c r="AS22" s="25" t="s">
        <v>63</v>
      </c>
      <c r="AT22" s="26">
        <v>0</v>
      </c>
    </row>
    <row r="23" spans="1:46" ht="45" x14ac:dyDescent="0.25">
      <c r="A23" s="7">
        <v>19</v>
      </c>
      <c r="B23" s="8" t="str">
        <f t="shared" si="3"/>
        <v>NPH09</v>
      </c>
      <c r="C23" s="8" t="s">
        <v>52</v>
      </c>
      <c r="D23" s="8" t="s">
        <v>129</v>
      </c>
      <c r="E23" s="9" t="s">
        <v>130</v>
      </c>
      <c r="F23" s="8" t="s">
        <v>55</v>
      </c>
      <c r="G23" s="8" t="s">
        <v>67</v>
      </c>
      <c r="H23" s="10" t="s">
        <v>131</v>
      </c>
      <c r="I23" s="11" t="s">
        <v>58</v>
      </c>
      <c r="J23" s="12">
        <v>43998</v>
      </c>
      <c r="K23" s="13" t="s">
        <v>59</v>
      </c>
      <c r="L23" s="14">
        <v>41648855310</v>
      </c>
      <c r="M23" s="14" t="s">
        <v>132</v>
      </c>
      <c r="N23" s="14">
        <v>101298514779</v>
      </c>
      <c r="O23" s="13">
        <v>3811818593</v>
      </c>
      <c r="P23" s="15">
        <v>0</v>
      </c>
      <c r="Q23" s="16" t="s">
        <v>62</v>
      </c>
      <c r="R23" s="17">
        <v>489.5</v>
      </c>
      <c r="S23" s="18">
        <f t="shared" si="4"/>
        <v>7342.5</v>
      </c>
      <c r="T23" s="8">
        <v>22</v>
      </c>
      <c r="U23" s="19">
        <v>0</v>
      </c>
      <c r="V23" s="19">
        <v>25</v>
      </c>
      <c r="W23" s="19">
        <v>2</v>
      </c>
      <c r="X23" s="19">
        <v>0</v>
      </c>
      <c r="Y23" s="19">
        <v>4</v>
      </c>
      <c r="Z23" s="19">
        <v>0</v>
      </c>
      <c r="AA23" s="20">
        <f t="shared" si="5"/>
        <v>22</v>
      </c>
      <c r="AB23" s="21">
        <f t="shared" si="6"/>
        <v>28</v>
      </c>
      <c r="AC23" s="22">
        <f t="shared" si="7"/>
        <v>10769</v>
      </c>
      <c r="AD23" s="22">
        <f t="shared" si="8"/>
        <v>0</v>
      </c>
      <c r="AE23" s="18">
        <f t="shared" si="9"/>
        <v>3059.375</v>
      </c>
      <c r="AF23" s="18">
        <v>0</v>
      </c>
      <c r="AG23" s="18">
        <v>0</v>
      </c>
      <c r="AH23" s="23">
        <f t="shared" si="10"/>
        <v>13828.375</v>
      </c>
      <c r="AI23" s="18">
        <v>0</v>
      </c>
      <c r="AJ23" s="18">
        <f>VLOOKUP(D23,[1]Sheet1!$D$6:$DR$155,119,0)</f>
        <v>0</v>
      </c>
      <c r="AK23" s="18">
        <f>VLOOKUP(D23,[1]Sheet1!$D$6:$DQ$155,118,0)</f>
        <v>0</v>
      </c>
      <c r="AL23" s="23">
        <f t="shared" si="11"/>
        <v>13828.375</v>
      </c>
      <c r="AM23" s="24">
        <f t="shared" si="12"/>
        <v>1659.405</v>
      </c>
      <c r="AN23" s="24">
        <f t="shared" si="13"/>
        <v>103.7128125</v>
      </c>
      <c r="AO23" s="24">
        <f t="shared" si="14"/>
        <v>200</v>
      </c>
      <c r="AP23" s="24">
        <f t="shared" si="0"/>
        <v>1798</v>
      </c>
      <c r="AQ23" s="24">
        <f t="shared" si="1"/>
        <v>449</v>
      </c>
      <c r="AR23" s="24">
        <f t="shared" si="2"/>
        <v>11865.257187499999</v>
      </c>
      <c r="AS23" s="25" t="s">
        <v>63</v>
      </c>
      <c r="AT23" s="26">
        <v>0</v>
      </c>
    </row>
    <row r="24" spans="1:46" ht="30" x14ac:dyDescent="0.25">
      <c r="A24" s="7">
        <v>20</v>
      </c>
      <c r="B24" s="8" t="str">
        <f t="shared" si="3"/>
        <v>SHE227</v>
      </c>
      <c r="C24" s="8" t="s">
        <v>52</v>
      </c>
      <c r="D24" s="8" t="s">
        <v>133</v>
      </c>
      <c r="E24" s="9" t="s">
        <v>134</v>
      </c>
      <c r="F24" s="8" t="s">
        <v>55</v>
      </c>
      <c r="G24" s="8" t="s">
        <v>83</v>
      </c>
      <c r="H24" s="10" t="s">
        <v>135</v>
      </c>
      <c r="I24" s="11" t="s">
        <v>58</v>
      </c>
      <c r="J24" s="12">
        <v>44867</v>
      </c>
      <c r="K24" s="13" t="s">
        <v>59</v>
      </c>
      <c r="L24" s="14">
        <v>42299973500</v>
      </c>
      <c r="M24" s="14" t="s">
        <v>126</v>
      </c>
      <c r="N24" s="14">
        <v>101598039389</v>
      </c>
      <c r="O24" s="13">
        <v>3812622120</v>
      </c>
      <c r="P24" s="15">
        <v>0</v>
      </c>
      <c r="Q24" s="16" t="s">
        <v>62</v>
      </c>
      <c r="R24" s="17">
        <v>489.5</v>
      </c>
      <c r="S24" s="18">
        <f t="shared" si="4"/>
        <v>7342.5</v>
      </c>
      <c r="T24" s="8">
        <v>15</v>
      </c>
      <c r="U24" s="19">
        <v>0</v>
      </c>
      <c r="V24" s="19">
        <v>16</v>
      </c>
      <c r="W24" s="19">
        <v>9</v>
      </c>
      <c r="X24" s="19">
        <v>0</v>
      </c>
      <c r="Y24" s="19">
        <v>4</v>
      </c>
      <c r="Z24" s="19">
        <v>0</v>
      </c>
      <c r="AA24" s="20">
        <f t="shared" si="5"/>
        <v>15</v>
      </c>
      <c r="AB24" s="21">
        <f t="shared" si="6"/>
        <v>28</v>
      </c>
      <c r="AC24" s="22">
        <f t="shared" si="7"/>
        <v>7342.5</v>
      </c>
      <c r="AD24" s="22">
        <f t="shared" si="8"/>
        <v>0</v>
      </c>
      <c r="AE24" s="18">
        <f t="shared" si="9"/>
        <v>1958</v>
      </c>
      <c r="AF24" s="18">
        <v>0</v>
      </c>
      <c r="AG24" s="18">
        <v>0</v>
      </c>
      <c r="AH24" s="23">
        <f t="shared" si="10"/>
        <v>9300.5</v>
      </c>
      <c r="AI24" s="18">
        <v>0</v>
      </c>
      <c r="AJ24" s="18">
        <f>VLOOKUP(D24,[1]Sheet1!$D$6:$DR$155,119,0)</f>
        <v>0</v>
      </c>
      <c r="AK24" s="18">
        <f>VLOOKUP(D24,[1]Sheet1!$D$6:$DQ$155,118,0)</f>
        <v>0</v>
      </c>
      <c r="AL24" s="23">
        <f t="shared" si="11"/>
        <v>9300.5</v>
      </c>
      <c r="AM24" s="24">
        <f t="shared" si="12"/>
        <v>1116.06</v>
      </c>
      <c r="AN24" s="24">
        <f t="shared" si="13"/>
        <v>69.753749999999997</v>
      </c>
      <c r="AO24" s="24">
        <f t="shared" si="14"/>
        <v>0</v>
      </c>
      <c r="AP24" s="24">
        <f t="shared" si="0"/>
        <v>1209</v>
      </c>
      <c r="AQ24" s="24">
        <f t="shared" si="1"/>
        <v>302</v>
      </c>
      <c r="AR24" s="24">
        <f t="shared" si="2"/>
        <v>8114.6862499999997</v>
      </c>
      <c r="AS24" s="25" t="s">
        <v>63</v>
      </c>
      <c r="AT24" s="26">
        <v>0</v>
      </c>
    </row>
    <row r="25" spans="1:46" ht="30" x14ac:dyDescent="0.25">
      <c r="A25" s="7">
        <v>21</v>
      </c>
      <c r="B25" s="8" t="str">
        <f t="shared" si="3"/>
        <v>SHE309</v>
      </c>
      <c r="C25" s="8" t="s">
        <v>52</v>
      </c>
      <c r="D25" s="8" t="s">
        <v>136</v>
      </c>
      <c r="E25" s="9" t="s">
        <v>137</v>
      </c>
      <c r="F25" s="8" t="s">
        <v>55</v>
      </c>
      <c r="G25" s="8" t="s">
        <v>138</v>
      </c>
      <c r="H25" s="10" t="s">
        <v>139</v>
      </c>
      <c r="I25" s="11" t="s">
        <v>58</v>
      </c>
      <c r="J25" s="12">
        <v>45297</v>
      </c>
      <c r="K25" s="13" t="s">
        <v>59</v>
      </c>
      <c r="L25" s="14">
        <v>33292493280</v>
      </c>
      <c r="M25" s="14" t="s">
        <v>140</v>
      </c>
      <c r="N25" s="14">
        <v>101361777035</v>
      </c>
      <c r="O25" s="13">
        <v>3813018230</v>
      </c>
      <c r="P25" s="15">
        <v>0</v>
      </c>
      <c r="Q25" s="16" t="s">
        <v>62</v>
      </c>
      <c r="R25" s="17">
        <v>489.5</v>
      </c>
      <c r="S25" s="18">
        <f t="shared" si="4"/>
        <v>7342.5</v>
      </c>
      <c r="T25" s="8">
        <v>23</v>
      </c>
      <c r="U25" s="19">
        <v>0</v>
      </c>
      <c r="V25" s="19">
        <v>0</v>
      </c>
      <c r="W25" s="19">
        <v>1</v>
      </c>
      <c r="X25" s="19">
        <v>0</v>
      </c>
      <c r="Y25" s="19">
        <v>4</v>
      </c>
      <c r="Z25" s="19">
        <v>0</v>
      </c>
      <c r="AA25" s="20">
        <f t="shared" si="5"/>
        <v>23</v>
      </c>
      <c r="AB25" s="21">
        <f t="shared" si="6"/>
        <v>28</v>
      </c>
      <c r="AC25" s="22">
        <f t="shared" si="7"/>
        <v>11258.5</v>
      </c>
      <c r="AD25" s="22">
        <f t="shared" si="8"/>
        <v>0</v>
      </c>
      <c r="AE25" s="18">
        <f t="shared" si="9"/>
        <v>0</v>
      </c>
      <c r="AF25" s="18">
        <v>0</v>
      </c>
      <c r="AG25" s="18">
        <v>0</v>
      </c>
      <c r="AH25" s="23">
        <f t="shared" si="10"/>
        <v>11258.5</v>
      </c>
      <c r="AI25" s="18">
        <v>0</v>
      </c>
      <c r="AJ25" s="18">
        <f>VLOOKUP(D25,[1]Sheet1!$D$6:$DR$155,119,0)</f>
        <v>0</v>
      </c>
      <c r="AK25" s="18">
        <f>VLOOKUP(D25,[1]Sheet1!$D$6:$DQ$155,118,0)</f>
        <v>0</v>
      </c>
      <c r="AL25" s="23">
        <f t="shared" si="11"/>
        <v>11258.5</v>
      </c>
      <c r="AM25" s="24">
        <f t="shared" si="12"/>
        <v>1351.02</v>
      </c>
      <c r="AN25" s="24">
        <f t="shared" si="13"/>
        <v>84.438749999999999</v>
      </c>
      <c r="AO25" s="24">
        <f t="shared" si="14"/>
        <v>0</v>
      </c>
      <c r="AP25" s="24">
        <f t="shared" si="0"/>
        <v>1464</v>
      </c>
      <c r="AQ25" s="24">
        <f t="shared" si="1"/>
        <v>366</v>
      </c>
      <c r="AR25" s="24">
        <f t="shared" si="2"/>
        <v>9823.0412500000002</v>
      </c>
      <c r="AS25" s="25" t="s">
        <v>63</v>
      </c>
      <c r="AT25" s="26">
        <v>0</v>
      </c>
    </row>
    <row r="26" spans="1:46" ht="30" x14ac:dyDescent="0.25">
      <c r="A26" s="7">
        <v>22</v>
      </c>
      <c r="B26" s="8" t="str">
        <f t="shared" si="3"/>
        <v>MK0045</v>
      </c>
      <c r="C26" s="8" t="s">
        <v>141</v>
      </c>
      <c r="D26" s="8" t="s">
        <v>142</v>
      </c>
      <c r="E26" s="9" t="s">
        <v>143</v>
      </c>
      <c r="F26" s="8" t="s">
        <v>55</v>
      </c>
      <c r="G26" s="8" t="s">
        <v>83</v>
      </c>
      <c r="H26" s="10" t="s">
        <v>144</v>
      </c>
      <c r="I26" s="11" t="s">
        <v>58</v>
      </c>
      <c r="J26" s="12">
        <v>45780</v>
      </c>
      <c r="K26" s="13" t="s">
        <v>59</v>
      </c>
      <c r="L26" s="14">
        <v>44160747698</v>
      </c>
      <c r="M26" s="14" t="s">
        <v>145</v>
      </c>
      <c r="N26" s="14">
        <v>102209214448</v>
      </c>
      <c r="O26" s="13">
        <v>3813573772</v>
      </c>
      <c r="P26" s="15">
        <v>0</v>
      </c>
      <c r="Q26" s="16" t="s">
        <v>62</v>
      </c>
      <c r="R26" s="17">
        <v>489.5</v>
      </c>
      <c r="S26" s="18">
        <f t="shared" si="4"/>
        <v>7342.5</v>
      </c>
      <c r="T26" s="8">
        <v>18</v>
      </c>
      <c r="U26" s="19">
        <v>0</v>
      </c>
      <c r="V26" s="19">
        <v>0</v>
      </c>
      <c r="W26" s="19">
        <v>7</v>
      </c>
      <c r="X26" s="19">
        <v>0</v>
      </c>
      <c r="Y26" s="19">
        <v>3</v>
      </c>
      <c r="Z26" s="19">
        <v>0</v>
      </c>
      <c r="AA26" s="20">
        <f t="shared" si="5"/>
        <v>18</v>
      </c>
      <c r="AB26" s="21">
        <f t="shared" si="6"/>
        <v>28</v>
      </c>
      <c r="AC26" s="22">
        <f t="shared" si="7"/>
        <v>8811</v>
      </c>
      <c r="AD26" s="22">
        <f t="shared" si="8"/>
        <v>0</v>
      </c>
      <c r="AE26" s="18">
        <f t="shared" si="9"/>
        <v>0</v>
      </c>
      <c r="AF26" s="18">
        <v>0</v>
      </c>
      <c r="AG26" s="18">
        <v>0</v>
      </c>
      <c r="AH26" s="23">
        <f t="shared" si="10"/>
        <v>8811</v>
      </c>
      <c r="AI26" s="18">
        <v>0</v>
      </c>
      <c r="AJ26" s="18">
        <f>VLOOKUP(D26,[1]Sheet1!$D$6:$DR$155,119,0)</f>
        <v>0</v>
      </c>
      <c r="AK26" s="18">
        <f>VLOOKUP(D26,[1]Sheet1!$D$6:$DQ$155,118,0)</f>
        <v>0</v>
      </c>
      <c r="AL26" s="23">
        <f t="shared" si="11"/>
        <v>8811</v>
      </c>
      <c r="AM26" s="24">
        <f t="shared" si="12"/>
        <v>1057.32</v>
      </c>
      <c r="AN26" s="24">
        <f t="shared" si="13"/>
        <v>66.082499999999996</v>
      </c>
      <c r="AO26" s="24">
        <f t="shared" si="14"/>
        <v>0</v>
      </c>
      <c r="AP26" s="24">
        <f t="shared" si="0"/>
        <v>1145</v>
      </c>
      <c r="AQ26" s="24">
        <f t="shared" si="1"/>
        <v>286</v>
      </c>
      <c r="AR26" s="24">
        <f t="shared" si="2"/>
        <v>7687.5974999999999</v>
      </c>
      <c r="AS26" s="25" t="s">
        <v>63</v>
      </c>
      <c r="AT26" s="26">
        <v>0</v>
      </c>
    </row>
    <row r="27" spans="1:46" ht="30" x14ac:dyDescent="0.25">
      <c r="A27" s="7">
        <v>23</v>
      </c>
      <c r="B27" s="8" t="str">
        <f t="shared" si="3"/>
        <v>MK0059</v>
      </c>
      <c r="C27" s="8" t="s">
        <v>52</v>
      </c>
      <c r="D27" s="8" t="s">
        <v>146</v>
      </c>
      <c r="E27" s="9" t="s">
        <v>147</v>
      </c>
      <c r="F27" s="8" t="s">
        <v>55</v>
      </c>
      <c r="G27" s="8" t="s">
        <v>67</v>
      </c>
      <c r="H27" s="10" t="s">
        <v>144</v>
      </c>
      <c r="I27" s="11" t="s">
        <v>58</v>
      </c>
      <c r="J27" s="12">
        <v>45811</v>
      </c>
      <c r="K27" s="13" t="s">
        <v>59</v>
      </c>
      <c r="L27" s="14">
        <v>40270586029</v>
      </c>
      <c r="M27" s="14" t="s">
        <v>148</v>
      </c>
      <c r="N27" s="14">
        <v>101787572492</v>
      </c>
      <c r="O27" s="13">
        <v>3813573775</v>
      </c>
      <c r="P27" s="15">
        <v>0</v>
      </c>
      <c r="Q27" s="16" t="s">
        <v>62</v>
      </c>
      <c r="R27" s="17">
        <v>489.5</v>
      </c>
      <c r="S27" s="18">
        <f t="shared" si="4"/>
        <v>7342.5</v>
      </c>
      <c r="T27" s="8">
        <v>20</v>
      </c>
      <c r="U27" s="19">
        <v>0</v>
      </c>
      <c r="V27" s="19">
        <v>15.5</v>
      </c>
      <c r="W27" s="19">
        <v>4</v>
      </c>
      <c r="X27" s="19">
        <v>0</v>
      </c>
      <c r="Y27" s="19">
        <v>4</v>
      </c>
      <c r="Z27" s="19">
        <v>0</v>
      </c>
      <c r="AA27" s="20">
        <f t="shared" si="5"/>
        <v>20</v>
      </c>
      <c r="AB27" s="21">
        <f t="shared" si="6"/>
        <v>28</v>
      </c>
      <c r="AC27" s="22">
        <f t="shared" si="7"/>
        <v>9790</v>
      </c>
      <c r="AD27" s="22">
        <f t="shared" si="8"/>
        <v>0</v>
      </c>
      <c r="AE27" s="18">
        <f t="shared" si="9"/>
        <v>1896.8125</v>
      </c>
      <c r="AF27" s="18">
        <v>0</v>
      </c>
      <c r="AG27" s="18">
        <v>0</v>
      </c>
      <c r="AH27" s="23">
        <f t="shared" si="10"/>
        <v>11686.8125</v>
      </c>
      <c r="AI27" s="18">
        <v>0</v>
      </c>
      <c r="AJ27" s="18">
        <f>VLOOKUP(D27,[1]Sheet1!$D$6:$DR$155,119,0)</f>
        <v>0</v>
      </c>
      <c r="AK27" s="18">
        <f>VLOOKUP(D27,[1]Sheet1!$D$6:$DQ$155,118,0)</f>
        <v>0</v>
      </c>
      <c r="AL27" s="23">
        <f t="shared" si="11"/>
        <v>11686.8125</v>
      </c>
      <c r="AM27" s="24">
        <f t="shared" si="12"/>
        <v>1402.4175</v>
      </c>
      <c r="AN27" s="24">
        <f t="shared" si="13"/>
        <v>87.651093750000001</v>
      </c>
      <c r="AO27" s="24">
        <f t="shared" si="14"/>
        <v>0</v>
      </c>
      <c r="AP27" s="24">
        <f t="shared" si="0"/>
        <v>1519</v>
      </c>
      <c r="AQ27" s="24">
        <f t="shared" si="1"/>
        <v>380</v>
      </c>
      <c r="AR27" s="24">
        <f t="shared" si="2"/>
        <v>10196.74390625</v>
      </c>
      <c r="AS27" s="25" t="s">
        <v>63</v>
      </c>
      <c r="AT27" s="26">
        <v>0</v>
      </c>
    </row>
    <row r="28" spans="1:46" ht="30" x14ac:dyDescent="0.25">
      <c r="A28" s="7">
        <v>24</v>
      </c>
      <c r="B28" s="8" t="str">
        <f t="shared" si="3"/>
        <v>SHE344</v>
      </c>
      <c r="C28" s="8" t="s">
        <v>52</v>
      </c>
      <c r="D28" s="8" t="s">
        <v>149</v>
      </c>
      <c r="E28" s="9" t="s">
        <v>150</v>
      </c>
      <c r="F28" s="8" t="s">
        <v>55</v>
      </c>
      <c r="G28" s="8" t="s">
        <v>67</v>
      </c>
      <c r="H28" s="10" t="s">
        <v>102</v>
      </c>
      <c r="I28" s="11" t="s">
        <v>58</v>
      </c>
      <c r="J28" s="12">
        <v>45908</v>
      </c>
      <c r="K28" s="13" t="s">
        <v>59</v>
      </c>
      <c r="L28" s="14">
        <v>65292100202</v>
      </c>
      <c r="M28" s="14" t="s">
        <v>122</v>
      </c>
      <c r="N28" s="14">
        <v>102243230891</v>
      </c>
      <c r="O28" s="13">
        <v>3813582132</v>
      </c>
      <c r="P28" s="15">
        <v>0</v>
      </c>
      <c r="Q28" s="16" t="s">
        <v>62</v>
      </c>
      <c r="R28" s="17">
        <v>489.5</v>
      </c>
      <c r="S28" s="18">
        <f t="shared" si="4"/>
        <v>7342.5</v>
      </c>
      <c r="T28" s="8">
        <v>22</v>
      </c>
      <c r="U28" s="19">
        <v>0</v>
      </c>
      <c r="V28" s="19">
        <v>2.5</v>
      </c>
      <c r="W28" s="19">
        <v>2</v>
      </c>
      <c r="X28" s="19">
        <v>0</v>
      </c>
      <c r="Y28" s="19">
        <v>4</v>
      </c>
      <c r="Z28" s="19">
        <v>0</v>
      </c>
      <c r="AA28" s="20">
        <f t="shared" si="5"/>
        <v>22</v>
      </c>
      <c r="AB28" s="21">
        <f t="shared" si="6"/>
        <v>28</v>
      </c>
      <c r="AC28" s="22">
        <f t="shared" si="7"/>
        <v>10769</v>
      </c>
      <c r="AD28" s="22">
        <f t="shared" si="8"/>
        <v>0</v>
      </c>
      <c r="AE28" s="18">
        <f t="shared" si="9"/>
        <v>305.9375</v>
      </c>
      <c r="AF28" s="18">
        <v>0</v>
      </c>
      <c r="AG28" s="18">
        <v>0</v>
      </c>
      <c r="AH28" s="23">
        <f t="shared" si="10"/>
        <v>11074.9375</v>
      </c>
      <c r="AI28" s="18">
        <v>0</v>
      </c>
      <c r="AJ28" s="18">
        <f>VLOOKUP(D28,[1]Sheet1!$D$6:$DR$155,119,0)</f>
        <v>200</v>
      </c>
      <c r="AK28" s="18">
        <f>VLOOKUP(D28,[1]Sheet1!$D$6:$DQ$155,118,0)</f>
        <v>0</v>
      </c>
      <c r="AL28" s="23">
        <f t="shared" si="11"/>
        <v>10874.9375</v>
      </c>
      <c r="AM28" s="24">
        <f t="shared" si="12"/>
        <v>1328.9925000000001</v>
      </c>
      <c r="AN28" s="24">
        <f t="shared" si="13"/>
        <v>83.062031250000004</v>
      </c>
      <c r="AO28" s="24">
        <f t="shared" si="14"/>
        <v>0</v>
      </c>
      <c r="AP28" s="24">
        <f t="shared" si="0"/>
        <v>1440</v>
      </c>
      <c r="AQ28" s="24">
        <f t="shared" si="1"/>
        <v>360</v>
      </c>
      <c r="AR28" s="24">
        <f t="shared" si="2"/>
        <v>9462.8829687500001</v>
      </c>
      <c r="AS28" s="25" t="s">
        <v>63</v>
      </c>
      <c r="AT28" s="26">
        <v>0</v>
      </c>
    </row>
    <row r="29" spans="1:46" ht="30" x14ac:dyDescent="0.25">
      <c r="A29" s="7">
        <v>25</v>
      </c>
      <c r="B29" s="8" t="str">
        <f t="shared" si="3"/>
        <v>SHE349</v>
      </c>
      <c r="C29" s="8" t="s">
        <v>64</v>
      </c>
      <c r="D29" s="8" t="s">
        <v>151</v>
      </c>
      <c r="E29" s="9" t="s">
        <v>152</v>
      </c>
      <c r="F29" s="8" t="s">
        <v>55</v>
      </c>
      <c r="G29" s="8" t="s">
        <v>67</v>
      </c>
      <c r="H29" s="10" t="s">
        <v>102</v>
      </c>
      <c r="I29" s="11" t="s">
        <v>58</v>
      </c>
      <c r="J29" s="12">
        <v>45930</v>
      </c>
      <c r="K29" s="13" t="s">
        <v>69</v>
      </c>
      <c r="L29" s="14">
        <v>50100839060570</v>
      </c>
      <c r="M29" s="14" t="s">
        <v>71</v>
      </c>
      <c r="N29" s="14">
        <v>102253432423</v>
      </c>
      <c r="O29" s="13">
        <v>3813590545</v>
      </c>
      <c r="P29" s="15">
        <v>0</v>
      </c>
      <c r="Q29" s="16" t="s">
        <v>62</v>
      </c>
      <c r="R29" s="17">
        <v>489.5</v>
      </c>
      <c r="S29" s="18">
        <f t="shared" si="4"/>
        <v>7342.5</v>
      </c>
      <c r="T29" s="8">
        <v>24</v>
      </c>
      <c r="U29" s="19">
        <v>0</v>
      </c>
      <c r="V29" s="19">
        <v>66</v>
      </c>
      <c r="W29" s="19">
        <v>0</v>
      </c>
      <c r="X29" s="19">
        <v>0</v>
      </c>
      <c r="Y29" s="19">
        <v>4</v>
      </c>
      <c r="Z29" s="19">
        <v>0</v>
      </c>
      <c r="AA29" s="20">
        <f t="shared" si="5"/>
        <v>24</v>
      </c>
      <c r="AB29" s="21">
        <f t="shared" si="6"/>
        <v>28</v>
      </c>
      <c r="AC29" s="22">
        <f t="shared" si="7"/>
        <v>11748</v>
      </c>
      <c r="AD29" s="22">
        <f t="shared" si="8"/>
        <v>0</v>
      </c>
      <c r="AE29" s="18">
        <f t="shared" si="9"/>
        <v>8076.75</v>
      </c>
      <c r="AF29" s="18">
        <v>0</v>
      </c>
      <c r="AG29" s="18">
        <v>0</v>
      </c>
      <c r="AH29" s="23">
        <f t="shared" si="10"/>
        <v>19824.75</v>
      </c>
      <c r="AI29" s="18">
        <v>0</v>
      </c>
      <c r="AJ29" s="18">
        <f>VLOOKUP(D29,[1]Sheet1!$D$6:$DR$155,119,0)</f>
        <v>0</v>
      </c>
      <c r="AK29" s="18">
        <f>VLOOKUP(D29,[1]Sheet1!$D$6:$DQ$155,118,0)</f>
        <v>0</v>
      </c>
      <c r="AL29" s="23">
        <f t="shared" si="11"/>
        <v>19824.75</v>
      </c>
      <c r="AM29" s="24">
        <f t="shared" si="12"/>
        <v>1800</v>
      </c>
      <c r="AN29" s="24">
        <f t="shared" si="13"/>
        <v>148.68562499999999</v>
      </c>
      <c r="AO29" s="24">
        <f t="shared" si="14"/>
        <v>200</v>
      </c>
      <c r="AP29" s="24">
        <f t="shared" si="0"/>
        <v>1950</v>
      </c>
      <c r="AQ29" s="24">
        <f t="shared" si="1"/>
        <v>644</v>
      </c>
      <c r="AR29" s="24">
        <f t="shared" si="2"/>
        <v>17676.064375000002</v>
      </c>
      <c r="AS29" s="25" t="s">
        <v>63</v>
      </c>
      <c r="AT29" s="26">
        <v>0</v>
      </c>
    </row>
    <row r="30" spans="1:46" ht="30" x14ac:dyDescent="0.25">
      <c r="A30" s="7">
        <v>26</v>
      </c>
      <c r="B30" s="8" t="str">
        <f t="shared" si="3"/>
        <v>SHE350</v>
      </c>
      <c r="C30" s="8" t="s">
        <v>52</v>
      </c>
      <c r="D30" s="8" t="s">
        <v>153</v>
      </c>
      <c r="E30" s="9" t="s">
        <v>154</v>
      </c>
      <c r="F30" s="8" t="s">
        <v>55</v>
      </c>
      <c r="G30" s="8" t="s">
        <v>67</v>
      </c>
      <c r="H30" s="10" t="s">
        <v>102</v>
      </c>
      <c r="I30" s="11" t="s">
        <v>58</v>
      </c>
      <c r="J30" s="12">
        <v>45931</v>
      </c>
      <c r="K30" s="13" t="s">
        <v>155</v>
      </c>
      <c r="L30" s="14">
        <v>55830100004151</v>
      </c>
      <c r="M30" s="14" t="s">
        <v>156</v>
      </c>
      <c r="N30" s="14">
        <v>102252104824</v>
      </c>
      <c r="O30" s="13">
        <v>3813603927</v>
      </c>
      <c r="P30" s="15">
        <v>0</v>
      </c>
      <c r="Q30" s="16" t="s">
        <v>62</v>
      </c>
      <c r="R30" s="17">
        <v>489.5</v>
      </c>
      <c r="S30" s="18">
        <f t="shared" si="4"/>
        <v>7342.5</v>
      </c>
      <c r="T30" s="8">
        <v>23.5</v>
      </c>
      <c r="U30" s="19">
        <v>0</v>
      </c>
      <c r="V30" s="19">
        <v>9.5</v>
      </c>
      <c r="W30" s="19">
        <v>0.5</v>
      </c>
      <c r="X30" s="19">
        <v>0</v>
      </c>
      <c r="Y30" s="19">
        <v>4</v>
      </c>
      <c r="Z30" s="19">
        <v>0</v>
      </c>
      <c r="AA30" s="20">
        <f t="shared" si="5"/>
        <v>23.5</v>
      </c>
      <c r="AB30" s="21">
        <f t="shared" si="6"/>
        <v>28</v>
      </c>
      <c r="AC30" s="22">
        <f t="shared" si="7"/>
        <v>11503.25</v>
      </c>
      <c r="AD30" s="22">
        <f t="shared" si="8"/>
        <v>0</v>
      </c>
      <c r="AE30" s="18">
        <f t="shared" si="9"/>
        <v>1162.5625</v>
      </c>
      <c r="AF30" s="18">
        <v>0</v>
      </c>
      <c r="AG30" s="18">
        <v>0</v>
      </c>
      <c r="AH30" s="23">
        <f t="shared" si="10"/>
        <v>12665.8125</v>
      </c>
      <c r="AI30" s="18">
        <v>0</v>
      </c>
      <c r="AJ30" s="18">
        <f>VLOOKUP(D30,[1]Sheet1!$D$6:$DR$155,119,0)</f>
        <v>0</v>
      </c>
      <c r="AK30" s="18">
        <f>VLOOKUP(D30,[1]Sheet1!$D$6:$DQ$155,118,0)</f>
        <v>0</v>
      </c>
      <c r="AL30" s="23">
        <f t="shared" si="11"/>
        <v>12665.8125</v>
      </c>
      <c r="AM30" s="24">
        <f t="shared" si="12"/>
        <v>1519.8975</v>
      </c>
      <c r="AN30" s="24">
        <f t="shared" si="13"/>
        <v>94.993593750000002</v>
      </c>
      <c r="AO30" s="24">
        <f t="shared" si="14"/>
        <v>200</v>
      </c>
      <c r="AP30" s="24">
        <f t="shared" si="0"/>
        <v>1647</v>
      </c>
      <c r="AQ30" s="24">
        <f t="shared" si="1"/>
        <v>412</v>
      </c>
      <c r="AR30" s="24">
        <f t="shared" si="2"/>
        <v>10850.92140625</v>
      </c>
      <c r="AS30" s="25" t="s">
        <v>63</v>
      </c>
      <c r="AT30" s="26">
        <v>0</v>
      </c>
    </row>
    <row r="31" spans="1:46" ht="30" x14ac:dyDescent="0.25">
      <c r="A31" s="7">
        <v>27</v>
      </c>
      <c r="B31" s="8" t="str">
        <f t="shared" si="3"/>
        <v>SHE351</v>
      </c>
      <c r="C31" s="8" t="s">
        <v>64</v>
      </c>
      <c r="D31" s="8" t="s">
        <v>157</v>
      </c>
      <c r="E31" s="9" t="s">
        <v>158</v>
      </c>
      <c r="F31" s="8" t="s">
        <v>55</v>
      </c>
      <c r="G31" s="8" t="s">
        <v>67</v>
      </c>
      <c r="H31" s="10" t="s">
        <v>102</v>
      </c>
      <c r="I31" s="11" t="s">
        <v>58</v>
      </c>
      <c r="J31" s="12">
        <v>45936</v>
      </c>
      <c r="K31" s="13" t="s">
        <v>59</v>
      </c>
      <c r="L31" s="14">
        <v>44604252151</v>
      </c>
      <c r="M31" s="14" t="s">
        <v>126</v>
      </c>
      <c r="N31" s="14">
        <v>102253290539</v>
      </c>
      <c r="O31" s="13">
        <v>3813606273</v>
      </c>
      <c r="P31" s="15">
        <v>0</v>
      </c>
      <c r="Q31" s="16" t="s">
        <v>62</v>
      </c>
      <c r="R31" s="17">
        <v>489.5</v>
      </c>
      <c r="S31" s="18">
        <f t="shared" si="4"/>
        <v>7342.5</v>
      </c>
      <c r="T31" s="8">
        <v>23</v>
      </c>
      <c r="U31" s="19">
        <v>0</v>
      </c>
      <c r="V31" s="19">
        <v>47.5</v>
      </c>
      <c r="W31" s="19">
        <v>1</v>
      </c>
      <c r="X31" s="19">
        <v>0</v>
      </c>
      <c r="Y31" s="19">
        <v>4</v>
      </c>
      <c r="Z31" s="19">
        <v>0</v>
      </c>
      <c r="AA31" s="20">
        <f t="shared" si="5"/>
        <v>23</v>
      </c>
      <c r="AB31" s="21">
        <f t="shared" si="6"/>
        <v>28</v>
      </c>
      <c r="AC31" s="22">
        <f t="shared" si="7"/>
        <v>11258.5</v>
      </c>
      <c r="AD31" s="22">
        <f t="shared" si="8"/>
        <v>0</v>
      </c>
      <c r="AE31" s="18">
        <f t="shared" si="9"/>
        <v>5812.8125</v>
      </c>
      <c r="AF31" s="18">
        <v>0</v>
      </c>
      <c r="AG31" s="18">
        <v>0</v>
      </c>
      <c r="AH31" s="23">
        <f t="shared" si="10"/>
        <v>17071.3125</v>
      </c>
      <c r="AI31" s="18">
        <v>0</v>
      </c>
      <c r="AJ31" s="18">
        <f>VLOOKUP(D31,[1]Sheet1!$D$6:$DR$155,119,0)</f>
        <v>0</v>
      </c>
      <c r="AK31" s="18">
        <f>VLOOKUP(D31,[1]Sheet1!$D$6:$DQ$155,118,0)</f>
        <v>0</v>
      </c>
      <c r="AL31" s="23">
        <f t="shared" si="11"/>
        <v>17071.3125</v>
      </c>
      <c r="AM31" s="24">
        <f t="shared" si="12"/>
        <v>1800</v>
      </c>
      <c r="AN31" s="24">
        <f t="shared" si="13"/>
        <v>128.03484374999999</v>
      </c>
      <c r="AO31" s="24">
        <f t="shared" si="14"/>
        <v>200</v>
      </c>
      <c r="AP31" s="24">
        <f t="shared" si="0"/>
        <v>1950</v>
      </c>
      <c r="AQ31" s="24">
        <f t="shared" si="1"/>
        <v>555</v>
      </c>
      <c r="AR31" s="24">
        <f t="shared" si="2"/>
        <v>14943.27765625</v>
      </c>
      <c r="AS31" s="25" t="s">
        <v>63</v>
      </c>
      <c r="AT31" s="26">
        <v>0</v>
      </c>
    </row>
    <row r="32" spans="1:46" ht="30" x14ac:dyDescent="0.25">
      <c r="A32" s="7">
        <v>28</v>
      </c>
      <c r="B32" s="8" t="str">
        <f t="shared" si="3"/>
        <v>SHE352</v>
      </c>
      <c r="C32" s="8" t="s">
        <v>64</v>
      </c>
      <c r="D32" s="8" t="s">
        <v>159</v>
      </c>
      <c r="E32" s="9" t="s">
        <v>160</v>
      </c>
      <c r="F32" s="8" t="s">
        <v>55</v>
      </c>
      <c r="G32" s="8" t="s">
        <v>67</v>
      </c>
      <c r="H32" s="10" t="s">
        <v>102</v>
      </c>
      <c r="I32" s="11" t="s">
        <v>58</v>
      </c>
      <c r="J32" s="12">
        <v>45936</v>
      </c>
      <c r="K32" s="13" t="s">
        <v>155</v>
      </c>
      <c r="L32" s="14">
        <v>58810100005307</v>
      </c>
      <c r="M32" s="14" t="s">
        <v>161</v>
      </c>
      <c r="N32" s="14">
        <v>102253288444</v>
      </c>
      <c r="O32" s="13">
        <v>3813606885</v>
      </c>
      <c r="P32" s="15">
        <v>0</v>
      </c>
      <c r="Q32" s="16" t="s">
        <v>62</v>
      </c>
      <c r="R32" s="17">
        <v>489.5</v>
      </c>
      <c r="S32" s="18">
        <f t="shared" si="4"/>
        <v>7342.5</v>
      </c>
      <c r="T32" s="8">
        <v>2</v>
      </c>
      <c r="U32" s="19">
        <v>0</v>
      </c>
      <c r="V32" s="19">
        <v>8</v>
      </c>
      <c r="W32" s="19">
        <v>0</v>
      </c>
      <c r="X32" s="19">
        <v>0</v>
      </c>
      <c r="Y32" s="19">
        <v>2</v>
      </c>
      <c r="Z32" s="19">
        <v>24</v>
      </c>
      <c r="AA32" s="20">
        <f t="shared" si="5"/>
        <v>2</v>
      </c>
      <c r="AB32" s="21">
        <f t="shared" si="6"/>
        <v>28</v>
      </c>
      <c r="AC32" s="22">
        <f t="shared" si="7"/>
        <v>979</v>
      </c>
      <c r="AD32" s="22">
        <f t="shared" si="8"/>
        <v>0</v>
      </c>
      <c r="AE32" s="18">
        <f t="shared" si="9"/>
        <v>979</v>
      </c>
      <c r="AF32" s="18">
        <v>0</v>
      </c>
      <c r="AG32" s="18">
        <f>VLOOKUP(D32,[2]Sheet1!$B$3:$D$50,3,0)</f>
        <v>15700</v>
      </c>
      <c r="AH32" s="23">
        <f t="shared" si="10"/>
        <v>17658</v>
      </c>
      <c r="AI32" s="18">
        <v>0</v>
      </c>
      <c r="AJ32" s="18">
        <f>VLOOKUP(D32,[1]Sheet1!$D$6:$DR$155,119,0)</f>
        <v>1000</v>
      </c>
      <c r="AK32" s="18">
        <f>VLOOKUP(D32,[1]Sheet1!$D$6:$DQ$155,118,0)</f>
        <v>0</v>
      </c>
      <c r="AL32" s="23">
        <f t="shared" si="11"/>
        <v>16658</v>
      </c>
      <c r="AM32" s="24">
        <f t="shared" si="12"/>
        <v>1800</v>
      </c>
      <c r="AN32" s="24">
        <f t="shared" si="13"/>
        <v>132.435</v>
      </c>
      <c r="AO32" s="24">
        <f t="shared" si="14"/>
        <v>200</v>
      </c>
      <c r="AP32" s="24">
        <f t="shared" si="0"/>
        <v>1950</v>
      </c>
      <c r="AQ32" s="24">
        <f t="shared" si="1"/>
        <v>574</v>
      </c>
      <c r="AR32" s="24">
        <f t="shared" si="2"/>
        <v>14525.565000000001</v>
      </c>
      <c r="AS32" s="25" t="s">
        <v>63</v>
      </c>
      <c r="AT32" s="26">
        <v>0</v>
      </c>
    </row>
    <row r="33" spans="1:46" ht="30" x14ac:dyDescent="0.25">
      <c r="A33" s="7">
        <v>29</v>
      </c>
      <c r="B33" s="8" t="str">
        <f t="shared" si="3"/>
        <v>SHE353</v>
      </c>
      <c r="C33" s="8" t="s">
        <v>52</v>
      </c>
      <c r="D33" s="8" t="s">
        <v>162</v>
      </c>
      <c r="E33" s="9" t="s">
        <v>163</v>
      </c>
      <c r="F33" s="8" t="s">
        <v>55</v>
      </c>
      <c r="G33" s="8" t="s">
        <v>78</v>
      </c>
      <c r="H33" s="10" t="s">
        <v>144</v>
      </c>
      <c r="I33" s="11" t="s">
        <v>58</v>
      </c>
      <c r="J33" s="12">
        <v>45940</v>
      </c>
      <c r="K33" s="13" t="s">
        <v>59</v>
      </c>
      <c r="L33" s="14">
        <v>42600803403</v>
      </c>
      <c r="M33" s="14" t="s">
        <v>126</v>
      </c>
      <c r="N33" s="14">
        <v>102039962756</v>
      </c>
      <c r="O33" s="13">
        <v>3813606330</v>
      </c>
      <c r="P33" s="15">
        <v>0</v>
      </c>
      <c r="Q33" s="16" t="s">
        <v>62</v>
      </c>
      <c r="R33" s="17">
        <v>489.5</v>
      </c>
      <c r="S33" s="18">
        <f t="shared" si="4"/>
        <v>7342.5</v>
      </c>
      <c r="T33" s="8">
        <v>21</v>
      </c>
      <c r="U33" s="19">
        <v>0</v>
      </c>
      <c r="V33" s="19">
        <v>10.5</v>
      </c>
      <c r="W33" s="19">
        <v>3</v>
      </c>
      <c r="X33" s="19">
        <v>0</v>
      </c>
      <c r="Y33" s="19">
        <v>4</v>
      </c>
      <c r="Z33" s="19">
        <v>0</v>
      </c>
      <c r="AA33" s="20">
        <f t="shared" si="5"/>
        <v>21</v>
      </c>
      <c r="AB33" s="21">
        <f t="shared" si="6"/>
        <v>28</v>
      </c>
      <c r="AC33" s="22">
        <f t="shared" si="7"/>
        <v>10279.5</v>
      </c>
      <c r="AD33" s="22">
        <f t="shared" si="8"/>
        <v>0</v>
      </c>
      <c r="AE33" s="18">
        <f t="shared" si="9"/>
        <v>1284.9375</v>
      </c>
      <c r="AF33" s="18">
        <v>0</v>
      </c>
      <c r="AG33" s="18">
        <v>0</v>
      </c>
      <c r="AH33" s="23">
        <f t="shared" si="10"/>
        <v>11564.4375</v>
      </c>
      <c r="AI33" s="18">
        <v>0</v>
      </c>
      <c r="AJ33" s="18">
        <f>VLOOKUP(D33,[1]Sheet1!$D$6:$DR$155,119,0)</f>
        <v>200</v>
      </c>
      <c r="AK33" s="18">
        <f>VLOOKUP(D33,[1]Sheet1!$D$6:$DQ$155,118,0)</f>
        <v>0</v>
      </c>
      <c r="AL33" s="23">
        <f t="shared" si="11"/>
        <v>11364.4375</v>
      </c>
      <c r="AM33" s="24">
        <f t="shared" si="12"/>
        <v>1387.7324999999998</v>
      </c>
      <c r="AN33" s="24">
        <f t="shared" si="13"/>
        <v>86.73328124999999</v>
      </c>
      <c r="AO33" s="24">
        <f t="shared" si="14"/>
        <v>0</v>
      </c>
      <c r="AP33" s="24">
        <f t="shared" si="0"/>
        <v>1503</v>
      </c>
      <c r="AQ33" s="24">
        <f t="shared" si="1"/>
        <v>376</v>
      </c>
      <c r="AR33" s="24">
        <f t="shared" ref="AR33:AR96" si="15">AH33-SUM(AI33:AK33)-SUM(AM33:AO33)</f>
        <v>9889.9717187500009</v>
      </c>
      <c r="AS33" s="25" t="s">
        <v>63</v>
      </c>
      <c r="AT33" s="26">
        <v>0</v>
      </c>
    </row>
    <row r="34" spans="1:46" ht="30" x14ac:dyDescent="0.25">
      <c r="A34" s="7">
        <v>30</v>
      </c>
      <c r="B34" s="8" t="str">
        <f t="shared" si="3"/>
        <v>SHE354</v>
      </c>
      <c r="C34" s="8" t="s">
        <v>64</v>
      </c>
      <c r="D34" s="8" t="s">
        <v>164</v>
      </c>
      <c r="E34" s="9" t="s">
        <v>165</v>
      </c>
      <c r="F34" s="8" t="s">
        <v>55</v>
      </c>
      <c r="G34" s="8" t="s">
        <v>83</v>
      </c>
      <c r="H34" s="10" t="s">
        <v>166</v>
      </c>
      <c r="I34" s="11" t="s">
        <v>58</v>
      </c>
      <c r="J34" s="12">
        <v>45941</v>
      </c>
      <c r="K34" s="13" t="s">
        <v>155</v>
      </c>
      <c r="L34" s="14">
        <v>50670100037790</v>
      </c>
      <c r="M34" s="14" t="s">
        <v>161</v>
      </c>
      <c r="N34" s="14">
        <v>102255062608</v>
      </c>
      <c r="O34" s="13">
        <v>3813606292</v>
      </c>
      <c r="P34" s="15">
        <v>0</v>
      </c>
      <c r="Q34" s="16" t="s">
        <v>62</v>
      </c>
      <c r="R34" s="17">
        <v>489.5</v>
      </c>
      <c r="S34" s="18">
        <f t="shared" si="4"/>
        <v>7342.5</v>
      </c>
      <c r="T34" s="8">
        <v>8</v>
      </c>
      <c r="U34" s="19">
        <v>0</v>
      </c>
      <c r="V34" s="19">
        <v>21.5</v>
      </c>
      <c r="W34" s="19">
        <v>0</v>
      </c>
      <c r="X34" s="19">
        <v>0</v>
      </c>
      <c r="Y34" s="19">
        <v>3</v>
      </c>
      <c r="Z34" s="19">
        <v>17</v>
      </c>
      <c r="AA34" s="20">
        <f t="shared" si="5"/>
        <v>8</v>
      </c>
      <c r="AB34" s="21">
        <f t="shared" si="6"/>
        <v>28</v>
      </c>
      <c r="AC34" s="22">
        <f t="shared" si="7"/>
        <v>3916</v>
      </c>
      <c r="AD34" s="22">
        <f t="shared" si="8"/>
        <v>0</v>
      </c>
      <c r="AE34" s="18">
        <f t="shared" si="9"/>
        <v>2631.0625</v>
      </c>
      <c r="AF34" s="18">
        <v>0</v>
      </c>
      <c r="AG34" s="18">
        <f>VLOOKUP(D34,[2]Sheet1!$B$3:$D$50,3,0)</f>
        <v>15983.4</v>
      </c>
      <c r="AH34" s="23">
        <f t="shared" si="10"/>
        <v>22530.462500000001</v>
      </c>
      <c r="AI34" s="18">
        <v>0</v>
      </c>
      <c r="AJ34" s="18">
        <f>VLOOKUP(D34,[1]Sheet1!$D$6:$DR$155,119,0)</f>
        <v>0</v>
      </c>
      <c r="AK34" s="18">
        <f>VLOOKUP(D34,[1]Sheet1!$D$6:$DQ$155,118,0)</f>
        <v>0</v>
      </c>
      <c r="AL34" s="23">
        <f t="shared" si="11"/>
        <v>22530.462500000001</v>
      </c>
      <c r="AM34" s="24">
        <f t="shared" si="12"/>
        <v>1800</v>
      </c>
      <c r="AN34" s="24">
        <f t="shared" si="13"/>
        <v>168.97846874999999</v>
      </c>
      <c r="AO34" s="24">
        <f t="shared" si="14"/>
        <v>200</v>
      </c>
      <c r="AP34" s="24">
        <f t="shared" si="0"/>
        <v>1950</v>
      </c>
      <c r="AQ34" s="24">
        <f t="shared" si="1"/>
        <v>732</v>
      </c>
      <c r="AR34" s="24">
        <f t="shared" si="15"/>
        <v>20361.484031250002</v>
      </c>
      <c r="AS34" s="25" t="s">
        <v>63</v>
      </c>
      <c r="AT34" s="26">
        <v>0</v>
      </c>
    </row>
    <row r="35" spans="1:46" ht="30" x14ac:dyDescent="0.25">
      <c r="A35" s="7">
        <v>31</v>
      </c>
      <c r="B35" s="8" t="str">
        <f t="shared" si="3"/>
        <v>SHE360</v>
      </c>
      <c r="C35" s="8" t="s">
        <v>64</v>
      </c>
      <c r="D35" s="8" t="s">
        <v>167</v>
      </c>
      <c r="E35" s="9" t="s">
        <v>168</v>
      </c>
      <c r="F35" s="8" t="s">
        <v>55</v>
      </c>
      <c r="G35" s="8" t="s">
        <v>83</v>
      </c>
      <c r="H35" s="10" t="s">
        <v>144</v>
      </c>
      <c r="I35" s="11" t="s">
        <v>58</v>
      </c>
      <c r="J35" s="12">
        <v>45962</v>
      </c>
      <c r="K35" s="13" t="s">
        <v>93</v>
      </c>
      <c r="L35" s="14">
        <v>464802050001363</v>
      </c>
      <c r="M35" s="14" t="s">
        <v>169</v>
      </c>
      <c r="N35" s="14">
        <v>101541562872</v>
      </c>
      <c r="O35" s="13">
        <v>3813633622</v>
      </c>
      <c r="P35" s="15">
        <v>0</v>
      </c>
      <c r="Q35" s="16" t="s">
        <v>62</v>
      </c>
      <c r="R35" s="17">
        <v>489.5</v>
      </c>
      <c r="S35" s="18">
        <f t="shared" si="4"/>
        <v>7342.5</v>
      </c>
      <c r="T35" s="8">
        <v>24</v>
      </c>
      <c r="U35" s="19">
        <v>0</v>
      </c>
      <c r="V35" s="19">
        <v>51.5</v>
      </c>
      <c r="W35" s="19">
        <v>0</v>
      </c>
      <c r="X35" s="19">
        <v>0</v>
      </c>
      <c r="Y35" s="19">
        <v>4</v>
      </c>
      <c r="Z35" s="19">
        <v>0</v>
      </c>
      <c r="AA35" s="20">
        <f t="shared" si="5"/>
        <v>24</v>
      </c>
      <c r="AB35" s="21">
        <f t="shared" si="6"/>
        <v>28</v>
      </c>
      <c r="AC35" s="22">
        <f t="shared" si="7"/>
        <v>11748</v>
      </c>
      <c r="AD35" s="22">
        <f t="shared" si="8"/>
        <v>0</v>
      </c>
      <c r="AE35" s="18">
        <f t="shared" si="9"/>
        <v>6302.3125</v>
      </c>
      <c r="AF35" s="18">
        <v>0</v>
      </c>
      <c r="AG35" s="18">
        <v>0</v>
      </c>
      <c r="AH35" s="23">
        <f t="shared" si="10"/>
        <v>18050.3125</v>
      </c>
      <c r="AI35" s="18">
        <v>0</v>
      </c>
      <c r="AJ35" s="18">
        <f>VLOOKUP(D35,[1]Sheet1!$D$6:$DR$155,119,0)</f>
        <v>0</v>
      </c>
      <c r="AK35" s="18">
        <f>VLOOKUP(D35,[1]Sheet1!$D$6:$DQ$155,118,0)</f>
        <v>0</v>
      </c>
      <c r="AL35" s="23">
        <f t="shared" si="11"/>
        <v>18050.3125</v>
      </c>
      <c r="AM35" s="24">
        <f t="shared" si="12"/>
        <v>1800</v>
      </c>
      <c r="AN35" s="24">
        <f t="shared" si="13"/>
        <v>135.37734374999999</v>
      </c>
      <c r="AO35" s="24">
        <f t="shared" si="14"/>
        <v>200</v>
      </c>
      <c r="AP35" s="24">
        <f t="shared" si="0"/>
        <v>1950</v>
      </c>
      <c r="AQ35" s="24">
        <f t="shared" si="1"/>
        <v>587</v>
      </c>
      <c r="AR35" s="24">
        <f t="shared" si="15"/>
        <v>15914.93515625</v>
      </c>
      <c r="AS35" s="25" t="s">
        <v>63</v>
      </c>
      <c r="AT35" s="26">
        <v>0</v>
      </c>
    </row>
    <row r="36" spans="1:46" ht="30" x14ac:dyDescent="0.25">
      <c r="A36" s="7">
        <v>32</v>
      </c>
      <c r="B36" s="8" t="str">
        <f t="shared" si="3"/>
        <v>SHE362</v>
      </c>
      <c r="C36" s="8" t="s">
        <v>52</v>
      </c>
      <c r="D36" s="8" t="s">
        <v>170</v>
      </c>
      <c r="E36" s="9" t="s">
        <v>171</v>
      </c>
      <c r="F36" s="8" t="s">
        <v>55</v>
      </c>
      <c r="G36" s="8" t="s">
        <v>67</v>
      </c>
      <c r="H36" s="10" t="s">
        <v>102</v>
      </c>
      <c r="I36" s="11" t="s">
        <v>58</v>
      </c>
      <c r="J36" s="12">
        <v>45964</v>
      </c>
      <c r="K36" s="13" t="s">
        <v>59</v>
      </c>
      <c r="L36" s="14">
        <v>65292108892</v>
      </c>
      <c r="M36" s="14" t="s">
        <v>122</v>
      </c>
      <c r="N36" s="14">
        <v>102030731069</v>
      </c>
      <c r="O36" s="13">
        <v>3813633717</v>
      </c>
      <c r="P36" s="15">
        <v>0</v>
      </c>
      <c r="Q36" s="16" t="s">
        <v>62</v>
      </c>
      <c r="R36" s="17">
        <v>489.5</v>
      </c>
      <c r="S36" s="18">
        <f t="shared" si="4"/>
        <v>7342.5</v>
      </c>
      <c r="T36" s="8">
        <v>23</v>
      </c>
      <c r="U36" s="19">
        <v>0</v>
      </c>
      <c r="V36" s="19">
        <v>10</v>
      </c>
      <c r="W36" s="19">
        <v>1</v>
      </c>
      <c r="X36" s="19">
        <v>0</v>
      </c>
      <c r="Y36" s="19">
        <v>4</v>
      </c>
      <c r="Z36" s="19">
        <v>0</v>
      </c>
      <c r="AA36" s="20">
        <f t="shared" si="5"/>
        <v>23</v>
      </c>
      <c r="AB36" s="21">
        <f t="shared" si="6"/>
        <v>28</v>
      </c>
      <c r="AC36" s="22">
        <f t="shared" si="7"/>
        <v>11258.5</v>
      </c>
      <c r="AD36" s="22">
        <f t="shared" si="8"/>
        <v>0</v>
      </c>
      <c r="AE36" s="18">
        <f t="shared" si="9"/>
        <v>1223.75</v>
      </c>
      <c r="AF36" s="18">
        <v>0</v>
      </c>
      <c r="AG36" s="18">
        <v>0</v>
      </c>
      <c r="AH36" s="23">
        <f t="shared" si="10"/>
        <v>12482.25</v>
      </c>
      <c r="AI36" s="18">
        <v>0</v>
      </c>
      <c r="AJ36" s="18">
        <f>VLOOKUP(D36,[1]Sheet1!$D$6:$DR$155,119,0)</f>
        <v>0</v>
      </c>
      <c r="AK36" s="18">
        <f>VLOOKUP(D36,[1]Sheet1!$D$6:$DQ$155,118,0)</f>
        <v>0</v>
      </c>
      <c r="AL36" s="23">
        <f t="shared" si="11"/>
        <v>12482.25</v>
      </c>
      <c r="AM36" s="24">
        <f t="shared" si="12"/>
        <v>1497.87</v>
      </c>
      <c r="AN36" s="24">
        <f t="shared" si="13"/>
        <v>93.616874999999993</v>
      </c>
      <c r="AO36" s="24">
        <f t="shared" si="14"/>
        <v>200</v>
      </c>
      <c r="AP36" s="24">
        <f t="shared" si="0"/>
        <v>1623</v>
      </c>
      <c r="AQ36" s="24">
        <f t="shared" si="1"/>
        <v>406</v>
      </c>
      <c r="AR36" s="24">
        <f t="shared" si="15"/>
        <v>10690.763124999999</v>
      </c>
      <c r="AS36" s="25" t="s">
        <v>63</v>
      </c>
      <c r="AT36" s="26">
        <v>0</v>
      </c>
    </row>
    <row r="37" spans="1:46" ht="45" x14ac:dyDescent="0.25">
      <c r="A37" s="7">
        <v>33</v>
      </c>
      <c r="B37" s="8" t="str">
        <f t="shared" si="3"/>
        <v>SHE369</v>
      </c>
      <c r="C37" s="8" t="s">
        <v>52</v>
      </c>
      <c r="D37" s="8" t="s">
        <v>172</v>
      </c>
      <c r="E37" s="9" t="s">
        <v>173</v>
      </c>
      <c r="F37" s="8" t="s">
        <v>55</v>
      </c>
      <c r="G37" s="8" t="s">
        <v>67</v>
      </c>
      <c r="H37" s="10" t="s">
        <v>131</v>
      </c>
      <c r="I37" s="11" t="s">
        <v>58</v>
      </c>
      <c r="J37" s="12">
        <v>45966</v>
      </c>
      <c r="K37" s="13" t="s">
        <v>59</v>
      </c>
      <c r="L37" s="14">
        <v>42926929494</v>
      </c>
      <c r="M37" s="14" t="s">
        <v>174</v>
      </c>
      <c r="N37" s="14">
        <v>101482079880</v>
      </c>
      <c r="O37" s="13">
        <v>3812220669</v>
      </c>
      <c r="P37" s="15">
        <v>0</v>
      </c>
      <c r="Q37" s="16" t="s">
        <v>62</v>
      </c>
      <c r="R37" s="17">
        <v>489.5</v>
      </c>
      <c r="S37" s="18">
        <f t="shared" si="4"/>
        <v>7342.5</v>
      </c>
      <c r="T37" s="8">
        <v>23</v>
      </c>
      <c r="U37" s="19">
        <v>0</v>
      </c>
      <c r="V37" s="19">
        <v>15.5</v>
      </c>
      <c r="W37" s="19">
        <v>1</v>
      </c>
      <c r="X37" s="19">
        <v>0</v>
      </c>
      <c r="Y37" s="19">
        <v>4</v>
      </c>
      <c r="Z37" s="19">
        <v>0</v>
      </c>
      <c r="AA37" s="20">
        <f t="shared" si="5"/>
        <v>23</v>
      </c>
      <c r="AB37" s="21">
        <f t="shared" si="6"/>
        <v>28</v>
      </c>
      <c r="AC37" s="22">
        <f t="shared" si="7"/>
        <v>11258.5</v>
      </c>
      <c r="AD37" s="22">
        <f t="shared" si="8"/>
        <v>0</v>
      </c>
      <c r="AE37" s="18">
        <f t="shared" si="9"/>
        <v>1896.8125</v>
      </c>
      <c r="AF37" s="18">
        <v>0</v>
      </c>
      <c r="AG37" s="18">
        <v>0</v>
      </c>
      <c r="AH37" s="23">
        <f t="shared" si="10"/>
        <v>13155.3125</v>
      </c>
      <c r="AI37" s="18">
        <v>0</v>
      </c>
      <c r="AJ37" s="18">
        <f>VLOOKUP(D37,[1]Sheet1!$D$6:$DR$155,119,0)</f>
        <v>0</v>
      </c>
      <c r="AK37" s="18">
        <f>VLOOKUP(D37,[1]Sheet1!$D$6:$DQ$155,118,0)</f>
        <v>0</v>
      </c>
      <c r="AL37" s="23">
        <f t="shared" si="11"/>
        <v>13155.3125</v>
      </c>
      <c r="AM37" s="24">
        <f t="shared" si="12"/>
        <v>1578.6375</v>
      </c>
      <c r="AN37" s="24">
        <f t="shared" si="13"/>
        <v>98.664843750000003</v>
      </c>
      <c r="AO37" s="24">
        <f t="shared" si="14"/>
        <v>200</v>
      </c>
      <c r="AP37" s="24">
        <f t="shared" si="0"/>
        <v>1710</v>
      </c>
      <c r="AQ37" s="24">
        <f t="shared" si="1"/>
        <v>428</v>
      </c>
      <c r="AR37" s="24">
        <f t="shared" si="15"/>
        <v>11278.01015625</v>
      </c>
      <c r="AS37" s="25" t="s">
        <v>63</v>
      </c>
      <c r="AT37" s="26">
        <v>0</v>
      </c>
    </row>
    <row r="38" spans="1:46" ht="30" x14ac:dyDescent="0.25">
      <c r="A38" s="7">
        <v>34</v>
      </c>
      <c r="B38" s="8" t="str">
        <f t="shared" si="3"/>
        <v>SHE371</v>
      </c>
      <c r="C38" s="8" t="s">
        <v>52</v>
      </c>
      <c r="D38" s="8" t="s">
        <v>175</v>
      </c>
      <c r="E38" s="9" t="s">
        <v>176</v>
      </c>
      <c r="F38" s="8" t="s">
        <v>55</v>
      </c>
      <c r="G38" s="8" t="s">
        <v>83</v>
      </c>
      <c r="H38" s="10" t="s">
        <v>121</v>
      </c>
      <c r="I38" s="11" t="s">
        <v>58</v>
      </c>
      <c r="J38" s="12">
        <v>45968</v>
      </c>
      <c r="K38" s="13" t="s">
        <v>177</v>
      </c>
      <c r="L38" s="14">
        <v>30270110063927</v>
      </c>
      <c r="M38" s="14" t="s">
        <v>178</v>
      </c>
      <c r="N38" s="14">
        <v>101814224691</v>
      </c>
      <c r="O38" s="13">
        <v>3813632623</v>
      </c>
      <c r="P38" s="15">
        <v>0</v>
      </c>
      <c r="Q38" s="16" t="s">
        <v>62</v>
      </c>
      <c r="R38" s="17">
        <v>489.5</v>
      </c>
      <c r="S38" s="18">
        <f t="shared" si="4"/>
        <v>7342.5</v>
      </c>
      <c r="T38" s="8">
        <v>22</v>
      </c>
      <c r="U38" s="19">
        <v>0</v>
      </c>
      <c r="V38" s="19">
        <v>6</v>
      </c>
      <c r="W38" s="19">
        <v>2</v>
      </c>
      <c r="X38" s="19">
        <v>0</v>
      </c>
      <c r="Y38" s="19">
        <v>4</v>
      </c>
      <c r="Z38" s="19">
        <v>0</v>
      </c>
      <c r="AA38" s="20">
        <f t="shared" si="5"/>
        <v>22</v>
      </c>
      <c r="AB38" s="21">
        <f t="shared" si="6"/>
        <v>28</v>
      </c>
      <c r="AC38" s="22">
        <f t="shared" si="7"/>
        <v>10769</v>
      </c>
      <c r="AD38" s="22">
        <f t="shared" si="8"/>
        <v>0</v>
      </c>
      <c r="AE38" s="18">
        <f t="shared" si="9"/>
        <v>734.25</v>
      </c>
      <c r="AF38" s="18">
        <v>0</v>
      </c>
      <c r="AG38" s="18">
        <v>0</v>
      </c>
      <c r="AH38" s="23">
        <f t="shared" si="10"/>
        <v>11503.25</v>
      </c>
      <c r="AI38" s="18">
        <v>0</v>
      </c>
      <c r="AJ38" s="18">
        <f>VLOOKUP(D38,[1]Sheet1!$D$6:$DR$155,119,0)</f>
        <v>0</v>
      </c>
      <c r="AK38" s="18">
        <f>VLOOKUP(D38,[1]Sheet1!$D$6:$DQ$155,118,0)</f>
        <v>0</v>
      </c>
      <c r="AL38" s="23">
        <f t="shared" si="11"/>
        <v>11503.25</v>
      </c>
      <c r="AM38" s="24">
        <f t="shared" si="12"/>
        <v>1380.3899999999999</v>
      </c>
      <c r="AN38" s="24">
        <f t="shared" si="13"/>
        <v>86.274374999999992</v>
      </c>
      <c r="AO38" s="24">
        <f t="shared" si="14"/>
        <v>0</v>
      </c>
      <c r="AP38" s="24">
        <f t="shared" si="0"/>
        <v>1495</v>
      </c>
      <c r="AQ38" s="24">
        <f t="shared" si="1"/>
        <v>374</v>
      </c>
      <c r="AR38" s="24">
        <f t="shared" si="15"/>
        <v>10036.585625</v>
      </c>
      <c r="AS38" s="25" t="s">
        <v>63</v>
      </c>
      <c r="AT38" s="26">
        <v>0</v>
      </c>
    </row>
    <row r="39" spans="1:46" ht="30" x14ac:dyDescent="0.25">
      <c r="A39" s="7">
        <v>35</v>
      </c>
      <c r="B39" s="8" t="str">
        <f t="shared" si="3"/>
        <v>SHE373</v>
      </c>
      <c r="C39" s="8" t="s">
        <v>52</v>
      </c>
      <c r="D39" s="8" t="s">
        <v>179</v>
      </c>
      <c r="E39" s="9" t="s">
        <v>180</v>
      </c>
      <c r="F39" s="8" t="s">
        <v>55</v>
      </c>
      <c r="G39" s="8" t="s">
        <v>125</v>
      </c>
      <c r="H39" s="10" t="s">
        <v>125</v>
      </c>
      <c r="I39" s="11" t="s">
        <v>58</v>
      </c>
      <c r="J39" s="12">
        <v>45971</v>
      </c>
      <c r="K39" s="13" t="s">
        <v>155</v>
      </c>
      <c r="L39" s="14" t="s">
        <v>181</v>
      </c>
      <c r="M39" s="14" t="s">
        <v>182</v>
      </c>
      <c r="N39" s="14">
        <v>101699712397</v>
      </c>
      <c r="O39" s="13">
        <v>3813632628</v>
      </c>
      <c r="P39" s="15">
        <v>0</v>
      </c>
      <c r="Q39" s="16" t="s">
        <v>62</v>
      </c>
      <c r="R39" s="17">
        <v>489.5</v>
      </c>
      <c r="S39" s="18">
        <f t="shared" si="4"/>
        <v>7342.5</v>
      </c>
      <c r="T39" s="8">
        <v>21</v>
      </c>
      <c r="U39" s="19">
        <v>0</v>
      </c>
      <c r="V39" s="19">
        <v>2.5</v>
      </c>
      <c r="W39" s="19">
        <v>3</v>
      </c>
      <c r="X39" s="19">
        <v>0</v>
      </c>
      <c r="Y39" s="19">
        <v>4</v>
      </c>
      <c r="Z39" s="19">
        <v>0</v>
      </c>
      <c r="AA39" s="20">
        <f t="shared" si="5"/>
        <v>21</v>
      </c>
      <c r="AB39" s="21">
        <f t="shared" si="6"/>
        <v>28</v>
      </c>
      <c r="AC39" s="22">
        <f t="shared" si="7"/>
        <v>10279.5</v>
      </c>
      <c r="AD39" s="22">
        <f t="shared" si="8"/>
        <v>0</v>
      </c>
      <c r="AE39" s="18">
        <f t="shared" si="9"/>
        <v>305.9375</v>
      </c>
      <c r="AF39" s="18">
        <v>0</v>
      </c>
      <c r="AG39" s="18">
        <v>0</v>
      </c>
      <c r="AH39" s="23">
        <f t="shared" si="10"/>
        <v>10585.4375</v>
      </c>
      <c r="AI39" s="18">
        <v>0</v>
      </c>
      <c r="AJ39" s="18">
        <f>VLOOKUP(D39,[1]Sheet1!$D$6:$DR$155,119,0)</f>
        <v>0</v>
      </c>
      <c r="AK39" s="18">
        <f>VLOOKUP(D39,[1]Sheet1!$D$6:$DQ$155,118,0)</f>
        <v>0</v>
      </c>
      <c r="AL39" s="23">
        <f t="shared" si="11"/>
        <v>10585.4375</v>
      </c>
      <c r="AM39" s="24">
        <f t="shared" si="12"/>
        <v>1270.2525000000001</v>
      </c>
      <c r="AN39" s="24">
        <f t="shared" si="13"/>
        <v>79.390781250000003</v>
      </c>
      <c r="AO39" s="24">
        <f t="shared" si="14"/>
        <v>0</v>
      </c>
      <c r="AP39" s="24">
        <f t="shared" si="0"/>
        <v>1376</v>
      </c>
      <c r="AQ39" s="24">
        <f t="shared" si="1"/>
        <v>344</v>
      </c>
      <c r="AR39" s="24">
        <f t="shared" si="15"/>
        <v>9235.7942187499993</v>
      </c>
      <c r="AS39" s="25" t="s">
        <v>63</v>
      </c>
      <c r="AT39" s="26">
        <v>0</v>
      </c>
    </row>
    <row r="40" spans="1:46" ht="30" x14ac:dyDescent="0.25">
      <c r="A40" s="7">
        <v>36</v>
      </c>
      <c r="B40" s="8" t="str">
        <f t="shared" si="3"/>
        <v>SHE374</v>
      </c>
      <c r="C40" s="8" t="s">
        <v>52</v>
      </c>
      <c r="D40" s="8" t="s">
        <v>183</v>
      </c>
      <c r="E40" s="9" t="s">
        <v>184</v>
      </c>
      <c r="F40" s="8" t="s">
        <v>55</v>
      </c>
      <c r="G40" s="8" t="s">
        <v>125</v>
      </c>
      <c r="H40" s="10" t="s">
        <v>125</v>
      </c>
      <c r="I40" s="11" t="s">
        <v>58</v>
      </c>
      <c r="J40" s="12">
        <v>45971</v>
      </c>
      <c r="K40" s="13" t="s">
        <v>155</v>
      </c>
      <c r="L40" s="14" t="s">
        <v>185</v>
      </c>
      <c r="M40" s="14" t="s">
        <v>182</v>
      </c>
      <c r="N40" s="14">
        <v>100517349853</v>
      </c>
      <c r="O40" s="13">
        <v>3813632625</v>
      </c>
      <c r="P40" s="15">
        <v>0</v>
      </c>
      <c r="Q40" s="16" t="s">
        <v>62</v>
      </c>
      <c r="R40" s="17">
        <v>489.5</v>
      </c>
      <c r="S40" s="18">
        <f t="shared" si="4"/>
        <v>7342.5</v>
      </c>
      <c r="T40" s="8">
        <v>23</v>
      </c>
      <c r="U40" s="19">
        <v>0</v>
      </c>
      <c r="V40" s="19">
        <v>0</v>
      </c>
      <c r="W40" s="19">
        <v>1</v>
      </c>
      <c r="X40" s="19">
        <v>0</v>
      </c>
      <c r="Y40" s="19">
        <v>4</v>
      </c>
      <c r="Z40" s="19">
        <v>0</v>
      </c>
      <c r="AA40" s="20">
        <f t="shared" si="5"/>
        <v>23</v>
      </c>
      <c r="AB40" s="21">
        <f t="shared" si="6"/>
        <v>28</v>
      </c>
      <c r="AC40" s="22">
        <f t="shared" si="7"/>
        <v>11258.5</v>
      </c>
      <c r="AD40" s="22">
        <f t="shared" si="8"/>
        <v>0</v>
      </c>
      <c r="AE40" s="18">
        <f t="shared" si="9"/>
        <v>0</v>
      </c>
      <c r="AF40" s="18">
        <v>0</v>
      </c>
      <c r="AG40" s="18">
        <v>0</v>
      </c>
      <c r="AH40" s="23">
        <f t="shared" si="10"/>
        <v>11258.5</v>
      </c>
      <c r="AI40" s="18">
        <v>0</v>
      </c>
      <c r="AJ40" s="18">
        <f>VLOOKUP(D40,[1]Sheet1!$D$6:$DR$155,119,0)</f>
        <v>0</v>
      </c>
      <c r="AK40" s="18">
        <f>VLOOKUP(D40,[1]Sheet1!$D$6:$DQ$155,118,0)</f>
        <v>0</v>
      </c>
      <c r="AL40" s="23">
        <f t="shared" si="11"/>
        <v>11258.5</v>
      </c>
      <c r="AM40" s="24">
        <f t="shared" si="12"/>
        <v>1351.02</v>
      </c>
      <c r="AN40" s="24">
        <f t="shared" si="13"/>
        <v>84.438749999999999</v>
      </c>
      <c r="AO40" s="24">
        <f t="shared" si="14"/>
        <v>0</v>
      </c>
      <c r="AP40" s="24">
        <f t="shared" si="0"/>
        <v>1464</v>
      </c>
      <c r="AQ40" s="24">
        <f t="shared" si="1"/>
        <v>366</v>
      </c>
      <c r="AR40" s="24">
        <f t="shared" si="15"/>
        <v>9823.0412500000002</v>
      </c>
      <c r="AS40" s="25" t="s">
        <v>63</v>
      </c>
      <c r="AT40" s="26">
        <v>0</v>
      </c>
    </row>
    <row r="41" spans="1:46" ht="30" x14ac:dyDescent="0.25">
      <c r="A41" s="7">
        <v>37</v>
      </c>
      <c r="B41" s="8" t="str">
        <f t="shared" si="3"/>
        <v>SHE378</v>
      </c>
      <c r="C41" s="8" t="s">
        <v>64</v>
      </c>
      <c r="D41" s="8" t="s">
        <v>186</v>
      </c>
      <c r="E41" s="9" t="s">
        <v>187</v>
      </c>
      <c r="F41" s="8" t="s">
        <v>55</v>
      </c>
      <c r="G41" s="8" t="s">
        <v>83</v>
      </c>
      <c r="H41" s="10" t="s">
        <v>102</v>
      </c>
      <c r="I41" s="11" t="s">
        <v>58</v>
      </c>
      <c r="J41" s="12">
        <v>45979</v>
      </c>
      <c r="K41" s="13" t="s">
        <v>88</v>
      </c>
      <c r="L41" s="14" t="s">
        <v>188</v>
      </c>
      <c r="M41" s="14" t="s">
        <v>189</v>
      </c>
      <c r="N41" s="14">
        <v>101491944660</v>
      </c>
      <c r="O41" s="13">
        <v>3813633685</v>
      </c>
      <c r="P41" s="15">
        <v>0</v>
      </c>
      <c r="Q41" s="16" t="s">
        <v>62</v>
      </c>
      <c r="R41" s="17">
        <v>489.5</v>
      </c>
      <c r="S41" s="18">
        <f t="shared" si="4"/>
        <v>7342.5</v>
      </c>
      <c r="T41" s="8">
        <v>3</v>
      </c>
      <c r="U41" s="19">
        <v>0</v>
      </c>
      <c r="V41" s="19">
        <v>3</v>
      </c>
      <c r="W41" s="19">
        <v>24</v>
      </c>
      <c r="X41" s="19">
        <v>0</v>
      </c>
      <c r="Y41" s="19">
        <v>1</v>
      </c>
      <c r="Z41" s="19">
        <v>0</v>
      </c>
      <c r="AA41" s="20">
        <f t="shared" si="5"/>
        <v>3</v>
      </c>
      <c r="AB41" s="21">
        <f t="shared" si="6"/>
        <v>28</v>
      </c>
      <c r="AC41" s="22">
        <f t="shared" si="7"/>
        <v>1468.5</v>
      </c>
      <c r="AD41" s="22">
        <f t="shared" si="8"/>
        <v>0</v>
      </c>
      <c r="AE41" s="18">
        <f t="shared" si="9"/>
        <v>367.125</v>
      </c>
      <c r="AF41" s="18">
        <v>0</v>
      </c>
      <c r="AG41" s="18">
        <v>0</v>
      </c>
      <c r="AH41" s="23">
        <f t="shared" si="10"/>
        <v>1835.625</v>
      </c>
      <c r="AI41" s="18">
        <v>0</v>
      </c>
      <c r="AJ41" s="18">
        <f>VLOOKUP(D41,[1]Sheet1!$D$6:$DR$155,119,0)</f>
        <v>0</v>
      </c>
      <c r="AK41" s="18">
        <f>VLOOKUP(D41,[1]Sheet1!$D$6:$DQ$155,118,0)</f>
        <v>0</v>
      </c>
      <c r="AL41" s="23">
        <f t="shared" si="11"/>
        <v>1835.625</v>
      </c>
      <c r="AM41" s="24">
        <f t="shared" si="12"/>
        <v>220.27500000000001</v>
      </c>
      <c r="AN41" s="24">
        <f t="shared" si="13"/>
        <v>13.7671875</v>
      </c>
      <c r="AO41" s="24">
        <f t="shared" si="14"/>
        <v>0</v>
      </c>
      <c r="AP41" s="24">
        <f t="shared" si="0"/>
        <v>239</v>
      </c>
      <c r="AQ41" s="24">
        <f t="shared" si="1"/>
        <v>60</v>
      </c>
      <c r="AR41" s="24">
        <f t="shared" si="15"/>
        <v>1601.5828125</v>
      </c>
      <c r="AS41" s="25" t="s">
        <v>63</v>
      </c>
      <c r="AT41" s="26">
        <v>0</v>
      </c>
    </row>
    <row r="42" spans="1:46" ht="30" x14ac:dyDescent="0.25">
      <c r="A42" s="7">
        <v>38</v>
      </c>
      <c r="B42" s="8" t="str">
        <f t="shared" si="3"/>
        <v>SHE379</v>
      </c>
      <c r="C42" s="8" t="s">
        <v>52</v>
      </c>
      <c r="D42" s="8" t="s">
        <v>190</v>
      </c>
      <c r="E42" s="9" t="s">
        <v>191</v>
      </c>
      <c r="F42" s="8" t="s">
        <v>55</v>
      </c>
      <c r="G42" s="8" t="s">
        <v>192</v>
      </c>
      <c r="H42" s="10" t="s">
        <v>192</v>
      </c>
      <c r="I42" s="11" t="s">
        <v>58</v>
      </c>
      <c r="J42" s="12">
        <v>45979</v>
      </c>
      <c r="K42" s="13" t="s">
        <v>155</v>
      </c>
      <c r="L42" s="14" t="s">
        <v>193</v>
      </c>
      <c r="M42" s="14" t="s">
        <v>194</v>
      </c>
      <c r="N42" s="14">
        <v>101413177814</v>
      </c>
      <c r="O42" s="13">
        <v>3813632600</v>
      </c>
      <c r="P42" s="15">
        <v>0</v>
      </c>
      <c r="Q42" s="16" t="s">
        <v>62</v>
      </c>
      <c r="R42" s="17">
        <v>560</v>
      </c>
      <c r="S42" s="18">
        <f t="shared" si="4"/>
        <v>8400</v>
      </c>
      <c r="T42" s="8">
        <v>18</v>
      </c>
      <c r="U42" s="19">
        <v>0</v>
      </c>
      <c r="V42" s="19">
        <v>2</v>
      </c>
      <c r="W42" s="19">
        <v>7</v>
      </c>
      <c r="X42" s="19">
        <v>0</v>
      </c>
      <c r="Y42" s="19">
        <v>3</v>
      </c>
      <c r="Z42" s="19">
        <v>0</v>
      </c>
      <c r="AA42" s="20">
        <f t="shared" si="5"/>
        <v>18</v>
      </c>
      <c r="AB42" s="21">
        <f t="shared" si="6"/>
        <v>28</v>
      </c>
      <c r="AC42" s="22">
        <f t="shared" si="7"/>
        <v>10080</v>
      </c>
      <c r="AD42" s="22">
        <f t="shared" si="8"/>
        <v>0</v>
      </c>
      <c r="AE42" s="18">
        <f t="shared" si="9"/>
        <v>280</v>
      </c>
      <c r="AF42" s="18">
        <v>0</v>
      </c>
      <c r="AG42" s="18">
        <v>0</v>
      </c>
      <c r="AH42" s="23">
        <f t="shared" si="10"/>
        <v>10360</v>
      </c>
      <c r="AI42" s="18">
        <v>0</v>
      </c>
      <c r="AJ42" s="18">
        <f>VLOOKUP(D42,[1]Sheet1!$D$6:$DR$155,119,0)</f>
        <v>0</v>
      </c>
      <c r="AK42" s="18">
        <f>VLOOKUP(D42,[1]Sheet1!$D$6:$DQ$155,118,0)</f>
        <v>0</v>
      </c>
      <c r="AL42" s="23">
        <f t="shared" si="11"/>
        <v>10360</v>
      </c>
      <c r="AM42" s="24">
        <f t="shared" si="12"/>
        <v>1243.2</v>
      </c>
      <c r="AN42" s="24">
        <f t="shared" si="13"/>
        <v>77.7</v>
      </c>
      <c r="AO42" s="24">
        <f t="shared" si="14"/>
        <v>0</v>
      </c>
      <c r="AP42" s="24">
        <f t="shared" si="0"/>
        <v>1347</v>
      </c>
      <c r="AQ42" s="24">
        <f t="shared" si="1"/>
        <v>337</v>
      </c>
      <c r="AR42" s="24">
        <f t="shared" si="15"/>
        <v>9039.1</v>
      </c>
      <c r="AS42" s="25" t="s">
        <v>63</v>
      </c>
      <c r="AT42" s="26">
        <v>0</v>
      </c>
    </row>
    <row r="43" spans="1:46" ht="30" x14ac:dyDescent="0.25">
      <c r="A43" s="7">
        <v>39</v>
      </c>
      <c r="B43" s="8" t="str">
        <f t="shared" si="3"/>
        <v>SHE380</v>
      </c>
      <c r="C43" s="8" t="s">
        <v>52</v>
      </c>
      <c r="D43" s="8" t="s">
        <v>195</v>
      </c>
      <c r="E43" s="9" t="s">
        <v>196</v>
      </c>
      <c r="F43" s="8" t="s">
        <v>55</v>
      </c>
      <c r="G43" s="8" t="s">
        <v>83</v>
      </c>
      <c r="H43" s="10" t="s">
        <v>166</v>
      </c>
      <c r="I43" s="11" t="s">
        <v>58</v>
      </c>
      <c r="J43" s="12">
        <v>45980</v>
      </c>
      <c r="K43" s="13" t="s">
        <v>59</v>
      </c>
      <c r="L43" s="14">
        <v>41515581632</v>
      </c>
      <c r="M43" s="14" t="s">
        <v>126</v>
      </c>
      <c r="N43" s="14">
        <v>102267989295</v>
      </c>
      <c r="O43" s="13">
        <v>3813628928</v>
      </c>
      <c r="P43" s="15">
        <v>0</v>
      </c>
      <c r="Q43" s="16" t="s">
        <v>62</v>
      </c>
      <c r="R43" s="17">
        <v>489.5</v>
      </c>
      <c r="S43" s="18">
        <f t="shared" si="4"/>
        <v>7342.5</v>
      </c>
      <c r="T43" s="8">
        <v>22</v>
      </c>
      <c r="U43" s="19">
        <v>0</v>
      </c>
      <c r="V43" s="19">
        <v>0</v>
      </c>
      <c r="W43" s="19">
        <v>2</v>
      </c>
      <c r="X43" s="19">
        <v>0</v>
      </c>
      <c r="Y43" s="19">
        <v>4</v>
      </c>
      <c r="Z43" s="19">
        <v>0</v>
      </c>
      <c r="AA43" s="20">
        <f t="shared" si="5"/>
        <v>22</v>
      </c>
      <c r="AB43" s="21">
        <f t="shared" si="6"/>
        <v>28</v>
      </c>
      <c r="AC43" s="22">
        <f t="shared" si="7"/>
        <v>10769</v>
      </c>
      <c r="AD43" s="22">
        <f t="shared" si="8"/>
        <v>0</v>
      </c>
      <c r="AE43" s="18">
        <f t="shared" si="9"/>
        <v>0</v>
      </c>
      <c r="AF43" s="18">
        <v>0</v>
      </c>
      <c r="AG43" s="18">
        <v>0</v>
      </c>
      <c r="AH43" s="23">
        <f t="shared" si="10"/>
        <v>10769</v>
      </c>
      <c r="AI43" s="18">
        <v>0</v>
      </c>
      <c r="AJ43" s="18">
        <f>VLOOKUP(D43,[1]Sheet1!$D$6:$DR$155,119,0)</f>
        <v>0</v>
      </c>
      <c r="AK43" s="18">
        <f>VLOOKUP(D43,[1]Sheet1!$D$6:$DQ$155,118,0)</f>
        <v>0</v>
      </c>
      <c r="AL43" s="23">
        <f t="shared" si="11"/>
        <v>10769</v>
      </c>
      <c r="AM43" s="24">
        <f t="shared" si="12"/>
        <v>1292.28</v>
      </c>
      <c r="AN43" s="24">
        <f t="shared" si="13"/>
        <v>80.767499999999998</v>
      </c>
      <c r="AO43" s="24">
        <f t="shared" si="14"/>
        <v>0</v>
      </c>
      <c r="AP43" s="24">
        <f t="shared" si="0"/>
        <v>1400</v>
      </c>
      <c r="AQ43" s="24">
        <f t="shared" si="1"/>
        <v>350</v>
      </c>
      <c r="AR43" s="24">
        <f t="shared" si="15"/>
        <v>9395.9524999999994</v>
      </c>
      <c r="AS43" s="25" t="s">
        <v>63</v>
      </c>
      <c r="AT43" s="26">
        <v>0</v>
      </c>
    </row>
    <row r="44" spans="1:46" ht="30" x14ac:dyDescent="0.25">
      <c r="A44" s="7">
        <v>40</v>
      </c>
      <c r="B44" s="8" t="str">
        <f t="shared" si="3"/>
        <v>SHE381</v>
      </c>
      <c r="C44" s="8" t="s">
        <v>52</v>
      </c>
      <c r="D44" s="8" t="s">
        <v>197</v>
      </c>
      <c r="E44" s="9" t="s">
        <v>198</v>
      </c>
      <c r="F44" s="8" t="s">
        <v>55</v>
      </c>
      <c r="G44" s="8" t="s">
        <v>83</v>
      </c>
      <c r="H44" s="10" t="s">
        <v>166</v>
      </c>
      <c r="I44" s="11" t="s">
        <v>58</v>
      </c>
      <c r="J44" s="12">
        <v>45980</v>
      </c>
      <c r="K44" s="13" t="s">
        <v>155</v>
      </c>
      <c r="L44" s="14">
        <v>55490100003161</v>
      </c>
      <c r="M44" s="14" t="s">
        <v>199</v>
      </c>
      <c r="N44" s="14">
        <v>102266990489</v>
      </c>
      <c r="O44" s="13">
        <v>3813628992</v>
      </c>
      <c r="P44" s="15">
        <v>0</v>
      </c>
      <c r="Q44" s="16" t="s">
        <v>62</v>
      </c>
      <c r="R44" s="17">
        <v>489.5</v>
      </c>
      <c r="S44" s="18">
        <f t="shared" si="4"/>
        <v>7342.5</v>
      </c>
      <c r="T44" s="8">
        <v>22.5</v>
      </c>
      <c r="U44" s="19">
        <v>0</v>
      </c>
      <c r="V44" s="19">
        <v>0</v>
      </c>
      <c r="W44" s="19">
        <v>1.5</v>
      </c>
      <c r="X44" s="19">
        <v>0</v>
      </c>
      <c r="Y44" s="19">
        <v>4</v>
      </c>
      <c r="Z44" s="19">
        <v>0</v>
      </c>
      <c r="AA44" s="20">
        <f t="shared" si="5"/>
        <v>22.5</v>
      </c>
      <c r="AB44" s="21">
        <f t="shared" si="6"/>
        <v>28</v>
      </c>
      <c r="AC44" s="22">
        <f t="shared" si="7"/>
        <v>11013.75</v>
      </c>
      <c r="AD44" s="22">
        <f t="shared" si="8"/>
        <v>0</v>
      </c>
      <c r="AE44" s="18">
        <f t="shared" si="9"/>
        <v>0</v>
      </c>
      <c r="AF44" s="18">
        <v>0</v>
      </c>
      <c r="AG44" s="18">
        <v>0</v>
      </c>
      <c r="AH44" s="23">
        <f t="shared" si="10"/>
        <v>11013.75</v>
      </c>
      <c r="AI44" s="18">
        <v>0</v>
      </c>
      <c r="AJ44" s="18">
        <f>VLOOKUP(D44,[1]Sheet1!$D$6:$DR$155,119,0)</f>
        <v>0</v>
      </c>
      <c r="AK44" s="18">
        <f>VLOOKUP(D44,[1]Sheet1!$D$6:$DQ$155,118,0)</f>
        <v>0</v>
      </c>
      <c r="AL44" s="23">
        <f t="shared" si="11"/>
        <v>11013.75</v>
      </c>
      <c r="AM44" s="24">
        <f t="shared" si="12"/>
        <v>1321.6499999999999</v>
      </c>
      <c r="AN44" s="24">
        <f t="shared" si="13"/>
        <v>82.603124999999991</v>
      </c>
      <c r="AO44" s="24">
        <f t="shared" si="14"/>
        <v>0</v>
      </c>
      <c r="AP44" s="24">
        <f t="shared" si="0"/>
        <v>1432</v>
      </c>
      <c r="AQ44" s="24">
        <f t="shared" si="1"/>
        <v>358</v>
      </c>
      <c r="AR44" s="24">
        <f t="shared" si="15"/>
        <v>9609.4968750000007</v>
      </c>
      <c r="AS44" s="25" t="s">
        <v>63</v>
      </c>
      <c r="AT44" s="26">
        <v>0</v>
      </c>
    </row>
    <row r="45" spans="1:46" ht="30" x14ac:dyDescent="0.25">
      <c r="A45" s="7">
        <v>41</v>
      </c>
      <c r="B45" s="8" t="str">
        <f t="shared" si="3"/>
        <v>SHE383</v>
      </c>
      <c r="C45" s="8" t="s">
        <v>52</v>
      </c>
      <c r="D45" s="8" t="s">
        <v>200</v>
      </c>
      <c r="E45" s="9" t="s">
        <v>201</v>
      </c>
      <c r="F45" s="8" t="s">
        <v>55</v>
      </c>
      <c r="G45" s="8" t="s">
        <v>83</v>
      </c>
      <c r="H45" s="10" t="s">
        <v>166</v>
      </c>
      <c r="I45" s="11" t="s">
        <v>58</v>
      </c>
      <c r="J45" s="12">
        <v>45980</v>
      </c>
      <c r="K45" s="13" t="s">
        <v>59</v>
      </c>
      <c r="L45" s="14">
        <v>20408898332</v>
      </c>
      <c r="M45" s="14" t="s">
        <v>202</v>
      </c>
      <c r="N45" s="14">
        <v>101165936559</v>
      </c>
      <c r="O45" s="13">
        <v>3813628908</v>
      </c>
      <c r="P45" s="15">
        <v>0</v>
      </c>
      <c r="Q45" s="16" t="s">
        <v>62</v>
      </c>
      <c r="R45" s="17">
        <v>489.5</v>
      </c>
      <c r="S45" s="18">
        <f t="shared" si="4"/>
        <v>7342.5</v>
      </c>
      <c r="T45" s="8">
        <v>23</v>
      </c>
      <c r="U45" s="19">
        <v>0</v>
      </c>
      <c r="V45" s="19">
        <v>0</v>
      </c>
      <c r="W45" s="19">
        <v>1</v>
      </c>
      <c r="X45" s="19">
        <v>0</v>
      </c>
      <c r="Y45" s="19">
        <v>4</v>
      </c>
      <c r="Z45" s="19">
        <v>0</v>
      </c>
      <c r="AA45" s="20">
        <f t="shared" si="5"/>
        <v>23</v>
      </c>
      <c r="AB45" s="21">
        <f t="shared" si="6"/>
        <v>28</v>
      </c>
      <c r="AC45" s="22">
        <f t="shared" si="7"/>
        <v>11258.5</v>
      </c>
      <c r="AD45" s="22">
        <f t="shared" si="8"/>
        <v>0</v>
      </c>
      <c r="AE45" s="18">
        <f t="shared" si="9"/>
        <v>0</v>
      </c>
      <c r="AF45" s="18">
        <v>0</v>
      </c>
      <c r="AG45" s="18">
        <v>0</v>
      </c>
      <c r="AH45" s="23">
        <f t="shared" si="10"/>
        <v>11258.5</v>
      </c>
      <c r="AI45" s="18">
        <v>0</v>
      </c>
      <c r="AJ45" s="18">
        <f>VLOOKUP(D45,[1]Sheet1!$D$6:$DR$155,119,0)</f>
        <v>0</v>
      </c>
      <c r="AK45" s="18">
        <f>VLOOKUP(D45,[1]Sheet1!$D$6:$DQ$155,118,0)</f>
        <v>0</v>
      </c>
      <c r="AL45" s="23">
        <f t="shared" si="11"/>
        <v>11258.5</v>
      </c>
      <c r="AM45" s="24">
        <f t="shared" si="12"/>
        <v>1351.02</v>
      </c>
      <c r="AN45" s="24">
        <f t="shared" si="13"/>
        <v>84.438749999999999</v>
      </c>
      <c r="AO45" s="24">
        <f t="shared" si="14"/>
        <v>0</v>
      </c>
      <c r="AP45" s="24">
        <f t="shared" si="0"/>
        <v>1464</v>
      </c>
      <c r="AQ45" s="24">
        <f t="shared" si="1"/>
        <v>366</v>
      </c>
      <c r="AR45" s="24">
        <f t="shared" si="15"/>
        <v>9823.0412500000002</v>
      </c>
      <c r="AS45" s="25" t="s">
        <v>63</v>
      </c>
      <c r="AT45" s="26">
        <v>0</v>
      </c>
    </row>
    <row r="46" spans="1:46" ht="30" x14ac:dyDescent="0.25">
      <c r="A46" s="7">
        <v>42</v>
      </c>
      <c r="B46" s="8" t="str">
        <f t="shared" si="3"/>
        <v>SHE385</v>
      </c>
      <c r="C46" s="8" t="s">
        <v>52</v>
      </c>
      <c r="D46" s="8" t="s">
        <v>203</v>
      </c>
      <c r="E46" s="9" t="s">
        <v>204</v>
      </c>
      <c r="F46" s="8" t="s">
        <v>55</v>
      </c>
      <c r="G46" s="8" t="s">
        <v>83</v>
      </c>
      <c r="H46" s="10" t="s">
        <v>166</v>
      </c>
      <c r="I46" s="11" t="s">
        <v>58</v>
      </c>
      <c r="J46" s="12">
        <v>45980</v>
      </c>
      <c r="K46" s="13" t="s">
        <v>59</v>
      </c>
      <c r="L46" s="14">
        <v>33868847886</v>
      </c>
      <c r="M46" s="14" t="s">
        <v>140</v>
      </c>
      <c r="N46" s="14">
        <v>101474599020</v>
      </c>
      <c r="O46" s="13">
        <v>3813628876</v>
      </c>
      <c r="P46" s="15">
        <v>0</v>
      </c>
      <c r="Q46" s="16" t="s">
        <v>62</v>
      </c>
      <c r="R46" s="17">
        <v>489.5</v>
      </c>
      <c r="S46" s="18">
        <f t="shared" si="4"/>
        <v>7342.5</v>
      </c>
      <c r="T46" s="8">
        <v>24</v>
      </c>
      <c r="U46" s="19">
        <v>0</v>
      </c>
      <c r="V46" s="19">
        <v>0</v>
      </c>
      <c r="W46" s="19">
        <v>0</v>
      </c>
      <c r="X46" s="19">
        <v>0</v>
      </c>
      <c r="Y46" s="19">
        <v>4</v>
      </c>
      <c r="Z46" s="19">
        <v>0</v>
      </c>
      <c r="AA46" s="20">
        <f t="shared" si="5"/>
        <v>24</v>
      </c>
      <c r="AB46" s="21">
        <f t="shared" si="6"/>
        <v>28</v>
      </c>
      <c r="AC46" s="22">
        <f t="shared" si="7"/>
        <v>11748</v>
      </c>
      <c r="AD46" s="22">
        <f t="shared" si="8"/>
        <v>0</v>
      </c>
      <c r="AE46" s="18">
        <f t="shared" si="9"/>
        <v>0</v>
      </c>
      <c r="AF46" s="18">
        <v>0</v>
      </c>
      <c r="AG46" s="18">
        <v>0</v>
      </c>
      <c r="AH46" s="23">
        <f t="shared" si="10"/>
        <v>11748</v>
      </c>
      <c r="AI46" s="18">
        <v>0</v>
      </c>
      <c r="AJ46" s="18">
        <f>VLOOKUP(D46,[1]Sheet1!$D$6:$DR$155,119,0)</f>
        <v>0</v>
      </c>
      <c r="AK46" s="18">
        <f>VLOOKUP(D46,[1]Sheet1!$D$6:$DQ$155,118,0)</f>
        <v>0</v>
      </c>
      <c r="AL46" s="23">
        <f t="shared" si="11"/>
        <v>11748</v>
      </c>
      <c r="AM46" s="24">
        <f t="shared" si="12"/>
        <v>1409.76</v>
      </c>
      <c r="AN46" s="24">
        <f t="shared" si="13"/>
        <v>88.11</v>
      </c>
      <c r="AO46" s="24">
        <f t="shared" si="14"/>
        <v>0</v>
      </c>
      <c r="AP46" s="24">
        <f t="shared" si="0"/>
        <v>1527</v>
      </c>
      <c r="AQ46" s="24">
        <f t="shared" si="1"/>
        <v>382</v>
      </c>
      <c r="AR46" s="24">
        <f t="shared" si="15"/>
        <v>10250.130000000001</v>
      </c>
      <c r="AS46" s="25" t="s">
        <v>63</v>
      </c>
      <c r="AT46" s="26">
        <v>0</v>
      </c>
    </row>
    <row r="47" spans="1:46" ht="30" x14ac:dyDescent="0.25">
      <c r="A47" s="7">
        <v>43</v>
      </c>
      <c r="B47" s="8" t="str">
        <f t="shared" si="3"/>
        <v>SHE386</v>
      </c>
      <c r="C47" s="8" t="s">
        <v>52</v>
      </c>
      <c r="D47" s="8" t="s">
        <v>205</v>
      </c>
      <c r="E47" s="9" t="s">
        <v>206</v>
      </c>
      <c r="F47" s="8" t="s">
        <v>55</v>
      </c>
      <c r="G47" s="8" t="s">
        <v>83</v>
      </c>
      <c r="H47" s="10" t="s">
        <v>166</v>
      </c>
      <c r="I47" s="11" t="s">
        <v>58</v>
      </c>
      <c r="J47" s="12">
        <v>45980</v>
      </c>
      <c r="K47" s="13" t="s">
        <v>59</v>
      </c>
      <c r="L47" s="14">
        <v>44477266653</v>
      </c>
      <c r="M47" s="14" t="s">
        <v>207</v>
      </c>
      <c r="N47" s="14">
        <v>101426059119</v>
      </c>
      <c r="O47" s="13">
        <v>3813628835</v>
      </c>
      <c r="P47" s="15">
        <v>0</v>
      </c>
      <c r="Q47" s="16" t="s">
        <v>62</v>
      </c>
      <c r="R47" s="17">
        <v>489.5</v>
      </c>
      <c r="S47" s="18">
        <f t="shared" si="4"/>
        <v>7342.5</v>
      </c>
      <c r="T47" s="8">
        <v>21</v>
      </c>
      <c r="U47" s="19">
        <v>0</v>
      </c>
      <c r="V47" s="19">
        <v>0</v>
      </c>
      <c r="W47" s="19">
        <v>3</v>
      </c>
      <c r="X47" s="19">
        <v>0</v>
      </c>
      <c r="Y47" s="19">
        <v>4</v>
      </c>
      <c r="Z47" s="19">
        <v>0</v>
      </c>
      <c r="AA47" s="20">
        <f t="shared" si="5"/>
        <v>21</v>
      </c>
      <c r="AB47" s="21">
        <f t="shared" si="6"/>
        <v>28</v>
      </c>
      <c r="AC47" s="22">
        <f t="shared" si="7"/>
        <v>10279.5</v>
      </c>
      <c r="AD47" s="22">
        <f t="shared" si="8"/>
        <v>0</v>
      </c>
      <c r="AE47" s="18">
        <f t="shared" si="9"/>
        <v>0</v>
      </c>
      <c r="AF47" s="18">
        <v>0</v>
      </c>
      <c r="AG47" s="18">
        <v>0</v>
      </c>
      <c r="AH47" s="23">
        <f t="shared" si="10"/>
        <v>10279.5</v>
      </c>
      <c r="AI47" s="18">
        <v>0</v>
      </c>
      <c r="AJ47" s="18">
        <f>VLOOKUP(D47,[1]Sheet1!$D$6:$DR$155,119,0)</f>
        <v>0</v>
      </c>
      <c r="AK47" s="18">
        <f>VLOOKUP(D47,[1]Sheet1!$D$6:$DQ$155,118,0)</f>
        <v>0</v>
      </c>
      <c r="AL47" s="23">
        <f t="shared" si="11"/>
        <v>10279.5</v>
      </c>
      <c r="AM47" s="24">
        <f t="shared" si="12"/>
        <v>1233.54</v>
      </c>
      <c r="AN47" s="24">
        <f t="shared" si="13"/>
        <v>77.096249999999998</v>
      </c>
      <c r="AO47" s="24">
        <f t="shared" si="14"/>
        <v>0</v>
      </c>
      <c r="AP47" s="24">
        <f t="shared" si="0"/>
        <v>1336</v>
      </c>
      <c r="AQ47" s="24">
        <f t="shared" si="1"/>
        <v>334</v>
      </c>
      <c r="AR47" s="24">
        <f t="shared" si="15"/>
        <v>8968.8637500000004</v>
      </c>
      <c r="AS47" s="25" t="s">
        <v>63</v>
      </c>
      <c r="AT47" s="26">
        <v>0</v>
      </c>
    </row>
    <row r="48" spans="1:46" ht="30" x14ac:dyDescent="0.25">
      <c r="A48" s="7">
        <v>44</v>
      </c>
      <c r="B48" s="8" t="str">
        <f t="shared" si="3"/>
        <v>SHE387</v>
      </c>
      <c r="C48" s="8" t="s">
        <v>52</v>
      </c>
      <c r="D48" s="8" t="s">
        <v>208</v>
      </c>
      <c r="E48" s="9" t="s">
        <v>209</v>
      </c>
      <c r="F48" s="8" t="s">
        <v>55</v>
      </c>
      <c r="G48" s="8" t="s">
        <v>83</v>
      </c>
      <c r="H48" s="10" t="s">
        <v>166</v>
      </c>
      <c r="I48" s="11" t="s">
        <v>58</v>
      </c>
      <c r="J48" s="12">
        <v>45980</v>
      </c>
      <c r="K48" s="13" t="s">
        <v>210</v>
      </c>
      <c r="L48" s="14">
        <v>3928410082</v>
      </c>
      <c r="M48" s="14" t="s">
        <v>211</v>
      </c>
      <c r="N48" s="14">
        <v>101384165825</v>
      </c>
      <c r="O48" s="13">
        <v>3813628836</v>
      </c>
      <c r="P48" s="15">
        <v>0</v>
      </c>
      <c r="Q48" s="16" t="s">
        <v>62</v>
      </c>
      <c r="R48" s="17">
        <v>489.5</v>
      </c>
      <c r="S48" s="18">
        <f t="shared" si="4"/>
        <v>7342.5</v>
      </c>
      <c r="T48" s="8">
        <v>18</v>
      </c>
      <c r="U48" s="19">
        <v>0</v>
      </c>
      <c r="V48" s="19">
        <v>0</v>
      </c>
      <c r="W48" s="19">
        <v>6</v>
      </c>
      <c r="X48" s="19">
        <v>0</v>
      </c>
      <c r="Y48" s="19">
        <v>4</v>
      </c>
      <c r="Z48" s="19">
        <v>0</v>
      </c>
      <c r="AA48" s="20">
        <f t="shared" si="5"/>
        <v>18</v>
      </c>
      <c r="AB48" s="21">
        <f t="shared" si="6"/>
        <v>28</v>
      </c>
      <c r="AC48" s="22">
        <f t="shared" si="7"/>
        <v>8811</v>
      </c>
      <c r="AD48" s="22">
        <f t="shared" si="8"/>
        <v>0</v>
      </c>
      <c r="AE48" s="18">
        <f t="shared" si="9"/>
        <v>0</v>
      </c>
      <c r="AF48" s="18">
        <v>0</v>
      </c>
      <c r="AG48" s="18">
        <v>0</v>
      </c>
      <c r="AH48" s="23">
        <f t="shared" si="10"/>
        <v>8811</v>
      </c>
      <c r="AI48" s="18">
        <v>0</v>
      </c>
      <c r="AJ48" s="18">
        <f>VLOOKUP(D48,[1]Sheet1!$D$6:$DR$155,119,0)</f>
        <v>0</v>
      </c>
      <c r="AK48" s="18">
        <f>VLOOKUP(D48,[1]Sheet1!$D$6:$DQ$155,118,0)</f>
        <v>0</v>
      </c>
      <c r="AL48" s="23">
        <f t="shared" si="11"/>
        <v>8811</v>
      </c>
      <c r="AM48" s="24">
        <f t="shared" si="12"/>
        <v>1057.32</v>
      </c>
      <c r="AN48" s="24">
        <f t="shared" si="13"/>
        <v>66.082499999999996</v>
      </c>
      <c r="AO48" s="24">
        <f t="shared" si="14"/>
        <v>0</v>
      </c>
      <c r="AP48" s="24">
        <f t="shared" si="0"/>
        <v>1145</v>
      </c>
      <c r="AQ48" s="24">
        <f t="shared" si="1"/>
        <v>286</v>
      </c>
      <c r="AR48" s="24">
        <f t="shared" si="15"/>
        <v>7687.5974999999999</v>
      </c>
      <c r="AS48" s="25" t="s">
        <v>63</v>
      </c>
      <c r="AT48" s="26">
        <v>0</v>
      </c>
    </row>
    <row r="49" spans="1:46" ht="30" x14ac:dyDescent="0.25">
      <c r="A49" s="7">
        <v>45</v>
      </c>
      <c r="B49" s="8" t="str">
        <f t="shared" si="3"/>
        <v>SHE388</v>
      </c>
      <c r="C49" s="8" t="s">
        <v>52</v>
      </c>
      <c r="D49" s="8" t="s">
        <v>212</v>
      </c>
      <c r="E49" s="9" t="s">
        <v>213</v>
      </c>
      <c r="F49" s="8" t="s">
        <v>55</v>
      </c>
      <c r="G49" s="8" t="s">
        <v>83</v>
      </c>
      <c r="H49" s="10" t="s">
        <v>214</v>
      </c>
      <c r="I49" s="11" t="s">
        <v>58</v>
      </c>
      <c r="J49" s="12">
        <v>45980</v>
      </c>
      <c r="K49" s="13" t="s">
        <v>93</v>
      </c>
      <c r="L49" s="14">
        <v>673302120000101</v>
      </c>
      <c r="M49" s="14" t="s">
        <v>106</v>
      </c>
      <c r="N49" s="14">
        <v>100474869754</v>
      </c>
      <c r="O49" s="13">
        <v>3813629005</v>
      </c>
      <c r="P49" s="15">
        <v>0</v>
      </c>
      <c r="Q49" s="16" t="s">
        <v>62</v>
      </c>
      <c r="R49" s="17">
        <v>489.5</v>
      </c>
      <c r="S49" s="18">
        <f t="shared" si="4"/>
        <v>7342.5</v>
      </c>
      <c r="T49" s="8">
        <v>20</v>
      </c>
      <c r="U49" s="19">
        <v>0</v>
      </c>
      <c r="V49" s="19">
        <v>0</v>
      </c>
      <c r="W49" s="19">
        <v>4</v>
      </c>
      <c r="X49" s="19">
        <v>0</v>
      </c>
      <c r="Y49" s="19">
        <v>4</v>
      </c>
      <c r="Z49" s="19">
        <v>0</v>
      </c>
      <c r="AA49" s="20">
        <f t="shared" si="5"/>
        <v>20</v>
      </c>
      <c r="AB49" s="21">
        <f t="shared" si="6"/>
        <v>28</v>
      </c>
      <c r="AC49" s="22">
        <f t="shared" si="7"/>
        <v>9790</v>
      </c>
      <c r="AD49" s="22">
        <f t="shared" si="8"/>
        <v>0</v>
      </c>
      <c r="AE49" s="18">
        <f t="shared" si="9"/>
        <v>0</v>
      </c>
      <c r="AF49" s="18">
        <v>0</v>
      </c>
      <c r="AG49" s="18">
        <v>0</v>
      </c>
      <c r="AH49" s="23">
        <f t="shared" si="10"/>
        <v>9790</v>
      </c>
      <c r="AI49" s="18">
        <v>0</v>
      </c>
      <c r="AJ49" s="18">
        <f>VLOOKUP(D49,[1]Sheet1!$D$6:$DR$155,119,0)</f>
        <v>0</v>
      </c>
      <c r="AK49" s="18">
        <f>VLOOKUP(D49,[1]Sheet1!$D$6:$DQ$155,118,0)</f>
        <v>0</v>
      </c>
      <c r="AL49" s="23">
        <f t="shared" si="11"/>
        <v>9790</v>
      </c>
      <c r="AM49" s="24">
        <f t="shared" si="12"/>
        <v>1174.8</v>
      </c>
      <c r="AN49" s="24">
        <f t="shared" si="13"/>
        <v>73.424999999999997</v>
      </c>
      <c r="AO49" s="24">
        <f t="shared" si="14"/>
        <v>0</v>
      </c>
      <c r="AP49" s="24">
        <f t="shared" si="0"/>
        <v>1273</v>
      </c>
      <c r="AQ49" s="24">
        <f t="shared" si="1"/>
        <v>318</v>
      </c>
      <c r="AR49" s="24">
        <f t="shared" si="15"/>
        <v>8541.7749999999996</v>
      </c>
      <c r="AS49" s="25" t="s">
        <v>63</v>
      </c>
      <c r="AT49" s="26">
        <v>0</v>
      </c>
    </row>
    <row r="50" spans="1:46" ht="30" x14ac:dyDescent="0.25">
      <c r="A50" s="7">
        <v>46</v>
      </c>
      <c r="B50" s="8" t="str">
        <f t="shared" si="3"/>
        <v>SHE389</v>
      </c>
      <c r="C50" s="8" t="s">
        <v>52</v>
      </c>
      <c r="D50" s="8" t="s">
        <v>215</v>
      </c>
      <c r="E50" s="9" t="s">
        <v>216</v>
      </c>
      <c r="F50" s="8" t="s">
        <v>55</v>
      </c>
      <c r="G50" s="8" t="s">
        <v>83</v>
      </c>
      <c r="H50" s="10" t="s">
        <v>144</v>
      </c>
      <c r="I50" s="11" t="s">
        <v>58</v>
      </c>
      <c r="J50" s="12">
        <v>45980</v>
      </c>
      <c r="K50" s="13" t="s">
        <v>155</v>
      </c>
      <c r="L50" s="14">
        <v>37290100001588</v>
      </c>
      <c r="M50" s="14" t="s">
        <v>217</v>
      </c>
      <c r="N50" s="14">
        <v>102267985132</v>
      </c>
      <c r="O50" s="13">
        <v>3813629174</v>
      </c>
      <c r="P50" s="15">
        <v>0</v>
      </c>
      <c r="Q50" s="16" t="s">
        <v>62</v>
      </c>
      <c r="R50" s="17">
        <v>489.5</v>
      </c>
      <c r="S50" s="18">
        <f t="shared" si="4"/>
        <v>7342.5</v>
      </c>
      <c r="T50" s="8">
        <v>22</v>
      </c>
      <c r="U50" s="19">
        <v>0</v>
      </c>
      <c r="V50" s="19">
        <v>0</v>
      </c>
      <c r="W50" s="19">
        <v>2</v>
      </c>
      <c r="X50" s="19">
        <v>0</v>
      </c>
      <c r="Y50" s="19">
        <v>4</v>
      </c>
      <c r="Z50" s="19">
        <v>0</v>
      </c>
      <c r="AA50" s="20">
        <f t="shared" si="5"/>
        <v>22</v>
      </c>
      <c r="AB50" s="21">
        <f t="shared" si="6"/>
        <v>28</v>
      </c>
      <c r="AC50" s="22">
        <f t="shared" si="7"/>
        <v>10769</v>
      </c>
      <c r="AD50" s="22">
        <f t="shared" si="8"/>
        <v>0</v>
      </c>
      <c r="AE50" s="18">
        <f t="shared" si="9"/>
        <v>0</v>
      </c>
      <c r="AF50" s="18">
        <v>0</v>
      </c>
      <c r="AG50" s="18">
        <v>0</v>
      </c>
      <c r="AH50" s="23">
        <f t="shared" si="10"/>
        <v>10769</v>
      </c>
      <c r="AI50" s="18">
        <v>0</v>
      </c>
      <c r="AJ50" s="18">
        <f>VLOOKUP(D50,[1]Sheet1!$D$6:$DR$155,119,0)</f>
        <v>0</v>
      </c>
      <c r="AK50" s="18">
        <f>VLOOKUP(D50,[1]Sheet1!$D$6:$DQ$155,118,0)</f>
        <v>0</v>
      </c>
      <c r="AL50" s="23">
        <f t="shared" si="11"/>
        <v>10769</v>
      </c>
      <c r="AM50" s="24">
        <f t="shared" si="12"/>
        <v>1292.28</v>
      </c>
      <c r="AN50" s="24">
        <f t="shared" si="13"/>
        <v>80.767499999999998</v>
      </c>
      <c r="AO50" s="24">
        <f t="shared" si="14"/>
        <v>0</v>
      </c>
      <c r="AP50" s="24">
        <f t="shared" si="0"/>
        <v>1400</v>
      </c>
      <c r="AQ50" s="24">
        <f t="shared" si="1"/>
        <v>350</v>
      </c>
      <c r="AR50" s="24">
        <f t="shared" si="15"/>
        <v>9395.9524999999994</v>
      </c>
      <c r="AS50" s="25" t="s">
        <v>63</v>
      </c>
      <c r="AT50" s="26">
        <v>0</v>
      </c>
    </row>
    <row r="51" spans="1:46" ht="30" x14ac:dyDescent="0.25">
      <c r="A51" s="7">
        <v>47</v>
      </c>
      <c r="B51" s="8" t="str">
        <f t="shared" si="3"/>
        <v>SHE390</v>
      </c>
      <c r="C51" s="8" t="s">
        <v>52</v>
      </c>
      <c r="D51" s="8" t="s">
        <v>218</v>
      </c>
      <c r="E51" s="9" t="s">
        <v>219</v>
      </c>
      <c r="F51" s="8" t="s">
        <v>55</v>
      </c>
      <c r="G51" s="8" t="s">
        <v>83</v>
      </c>
      <c r="H51" s="10" t="s">
        <v>144</v>
      </c>
      <c r="I51" s="11" t="s">
        <v>58</v>
      </c>
      <c r="J51" s="12">
        <v>45980</v>
      </c>
      <c r="K51" s="13" t="s">
        <v>220</v>
      </c>
      <c r="L51" s="14">
        <v>251910510001407</v>
      </c>
      <c r="M51" s="14" t="s">
        <v>221</v>
      </c>
      <c r="N51" s="14">
        <v>102267987884</v>
      </c>
      <c r="O51" s="13">
        <v>3813629088</v>
      </c>
      <c r="P51" s="15">
        <v>0</v>
      </c>
      <c r="Q51" s="16" t="s">
        <v>62</v>
      </c>
      <c r="R51" s="17">
        <v>489.5</v>
      </c>
      <c r="S51" s="18">
        <f t="shared" si="4"/>
        <v>7342.5</v>
      </c>
      <c r="T51" s="8">
        <v>22.5</v>
      </c>
      <c r="U51" s="19">
        <v>0</v>
      </c>
      <c r="V51" s="19">
        <v>0</v>
      </c>
      <c r="W51" s="19">
        <v>1.5</v>
      </c>
      <c r="X51" s="19">
        <v>0</v>
      </c>
      <c r="Y51" s="19">
        <v>4</v>
      </c>
      <c r="Z51" s="19">
        <v>0</v>
      </c>
      <c r="AA51" s="20">
        <f t="shared" si="5"/>
        <v>22.5</v>
      </c>
      <c r="AB51" s="21">
        <f t="shared" si="6"/>
        <v>28</v>
      </c>
      <c r="AC51" s="22">
        <f t="shared" si="7"/>
        <v>11013.75</v>
      </c>
      <c r="AD51" s="22">
        <f t="shared" si="8"/>
        <v>0</v>
      </c>
      <c r="AE51" s="18">
        <f t="shared" si="9"/>
        <v>0</v>
      </c>
      <c r="AF51" s="18">
        <v>0</v>
      </c>
      <c r="AG51" s="18">
        <v>0</v>
      </c>
      <c r="AH51" s="23">
        <f t="shared" si="10"/>
        <v>11013.75</v>
      </c>
      <c r="AI51" s="18">
        <v>0</v>
      </c>
      <c r="AJ51" s="18">
        <f>VLOOKUP(D51,[1]Sheet1!$D$6:$DR$155,119,0)</f>
        <v>0</v>
      </c>
      <c r="AK51" s="18">
        <f>VLOOKUP(D51,[1]Sheet1!$D$6:$DQ$155,118,0)</f>
        <v>0</v>
      </c>
      <c r="AL51" s="23">
        <f t="shared" si="11"/>
        <v>11013.75</v>
      </c>
      <c r="AM51" s="24">
        <f t="shared" si="12"/>
        <v>1321.6499999999999</v>
      </c>
      <c r="AN51" s="24">
        <f t="shared" si="13"/>
        <v>82.603124999999991</v>
      </c>
      <c r="AO51" s="24">
        <f t="shared" si="14"/>
        <v>0</v>
      </c>
      <c r="AP51" s="24">
        <f t="shared" si="0"/>
        <v>1432</v>
      </c>
      <c r="AQ51" s="24">
        <f t="shared" si="1"/>
        <v>358</v>
      </c>
      <c r="AR51" s="24">
        <f t="shared" si="15"/>
        <v>9609.4968750000007</v>
      </c>
      <c r="AS51" s="25" t="s">
        <v>63</v>
      </c>
      <c r="AT51" s="26">
        <v>0</v>
      </c>
    </row>
    <row r="52" spans="1:46" ht="30" x14ac:dyDescent="0.25">
      <c r="A52" s="7">
        <v>48</v>
      </c>
      <c r="B52" s="8" t="str">
        <f t="shared" si="3"/>
        <v>SHE391</v>
      </c>
      <c r="C52" s="8" t="s">
        <v>52</v>
      </c>
      <c r="D52" s="8" t="s">
        <v>222</v>
      </c>
      <c r="E52" s="9" t="s">
        <v>223</v>
      </c>
      <c r="F52" s="8" t="s">
        <v>55</v>
      </c>
      <c r="G52" s="8" t="s">
        <v>83</v>
      </c>
      <c r="H52" s="10" t="s">
        <v>144</v>
      </c>
      <c r="I52" s="11" t="s">
        <v>58</v>
      </c>
      <c r="J52" s="12">
        <v>45980</v>
      </c>
      <c r="K52" s="13" t="s">
        <v>210</v>
      </c>
      <c r="L52" s="14">
        <v>5898498314</v>
      </c>
      <c r="M52" s="14" t="s">
        <v>211</v>
      </c>
      <c r="N52" s="14">
        <v>102267992126</v>
      </c>
      <c r="O52" s="13">
        <v>3813629071</v>
      </c>
      <c r="P52" s="15">
        <v>0</v>
      </c>
      <c r="Q52" s="16" t="s">
        <v>62</v>
      </c>
      <c r="R52" s="17">
        <v>489.5</v>
      </c>
      <c r="S52" s="18">
        <f t="shared" si="4"/>
        <v>7342.5</v>
      </c>
      <c r="T52" s="8">
        <v>0</v>
      </c>
      <c r="U52" s="19">
        <v>0</v>
      </c>
      <c r="V52" s="19">
        <v>0</v>
      </c>
      <c r="W52" s="19">
        <v>28</v>
      </c>
      <c r="X52" s="19">
        <v>0</v>
      </c>
      <c r="Y52" s="19">
        <v>0</v>
      </c>
      <c r="Z52" s="19">
        <v>0</v>
      </c>
      <c r="AA52" s="20">
        <f t="shared" si="5"/>
        <v>0</v>
      </c>
      <c r="AB52" s="21">
        <f t="shared" si="6"/>
        <v>28</v>
      </c>
      <c r="AC52" s="22">
        <f t="shared" si="7"/>
        <v>0</v>
      </c>
      <c r="AD52" s="22">
        <f t="shared" si="8"/>
        <v>0</v>
      </c>
      <c r="AE52" s="18">
        <f t="shared" si="9"/>
        <v>0</v>
      </c>
      <c r="AF52" s="18">
        <v>0</v>
      </c>
      <c r="AG52" s="18">
        <v>0</v>
      </c>
      <c r="AH52" s="23">
        <f t="shared" si="10"/>
        <v>0</v>
      </c>
      <c r="AI52" s="18">
        <v>0</v>
      </c>
      <c r="AJ52" s="18">
        <f>VLOOKUP(D52,[1]Sheet1!$D$6:$DR$155,119,0)</f>
        <v>0</v>
      </c>
      <c r="AK52" s="18">
        <f>VLOOKUP(D52,[1]Sheet1!$D$6:$DQ$155,118,0)</f>
        <v>0</v>
      </c>
      <c r="AL52" s="23">
        <f t="shared" si="11"/>
        <v>0</v>
      </c>
      <c r="AM52" s="24">
        <f t="shared" si="12"/>
        <v>0</v>
      </c>
      <c r="AN52" s="24">
        <f t="shared" si="13"/>
        <v>0</v>
      </c>
      <c r="AO52" s="24">
        <f t="shared" si="14"/>
        <v>0</v>
      </c>
      <c r="AP52" s="24">
        <f t="shared" si="0"/>
        <v>0</v>
      </c>
      <c r="AQ52" s="24">
        <f t="shared" si="1"/>
        <v>0</v>
      </c>
      <c r="AR52" s="24">
        <f t="shared" si="15"/>
        <v>0</v>
      </c>
      <c r="AS52" s="25" t="s">
        <v>63</v>
      </c>
      <c r="AT52" s="26">
        <v>0</v>
      </c>
    </row>
    <row r="53" spans="1:46" ht="30" x14ac:dyDescent="0.25">
      <c r="A53" s="7">
        <v>49</v>
      </c>
      <c r="B53" s="8" t="str">
        <f t="shared" si="3"/>
        <v>SHE392</v>
      </c>
      <c r="C53" s="8" t="s">
        <v>52</v>
      </c>
      <c r="D53" s="8" t="s">
        <v>224</v>
      </c>
      <c r="E53" s="9" t="s">
        <v>225</v>
      </c>
      <c r="F53" s="8" t="s">
        <v>55</v>
      </c>
      <c r="G53" s="8" t="s">
        <v>83</v>
      </c>
      <c r="H53" s="10" t="s">
        <v>144</v>
      </c>
      <c r="I53" s="11" t="s">
        <v>58</v>
      </c>
      <c r="J53" s="12">
        <v>45980</v>
      </c>
      <c r="K53" s="13" t="s">
        <v>59</v>
      </c>
      <c r="L53" s="14">
        <v>42269703211</v>
      </c>
      <c r="M53" s="14" t="s">
        <v>140</v>
      </c>
      <c r="N53" s="14">
        <v>102267991123</v>
      </c>
      <c r="O53" s="13">
        <v>3813629055</v>
      </c>
      <c r="P53" s="15">
        <v>0</v>
      </c>
      <c r="Q53" s="16" t="s">
        <v>62</v>
      </c>
      <c r="R53" s="17">
        <v>489.5</v>
      </c>
      <c r="S53" s="18">
        <f t="shared" si="4"/>
        <v>7342.5</v>
      </c>
      <c r="T53" s="8">
        <v>0</v>
      </c>
      <c r="U53" s="19">
        <v>0</v>
      </c>
      <c r="V53" s="19">
        <v>0</v>
      </c>
      <c r="W53" s="19">
        <v>28</v>
      </c>
      <c r="X53" s="19">
        <v>0</v>
      </c>
      <c r="Y53" s="19">
        <v>0</v>
      </c>
      <c r="Z53" s="19">
        <v>0</v>
      </c>
      <c r="AA53" s="20">
        <f t="shared" si="5"/>
        <v>0</v>
      </c>
      <c r="AB53" s="21">
        <f t="shared" si="6"/>
        <v>28</v>
      </c>
      <c r="AC53" s="22">
        <f t="shared" si="7"/>
        <v>0</v>
      </c>
      <c r="AD53" s="22">
        <f t="shared" si="8"/>
        <v>0</v>
      </c>
      <c r="AE53" s="18">
        <f t="shared" si="9"/>
        <v>0</v>
      </c>
      <c r="AF53" s="18">
        <v>0</v>
      </c>
      <c r="AG53" s="18">
        <v>0</v>
      </c>
      <c r="AH53" s="23">
        <f t="shared" si="10"/>
        <v>0</v>
      </c>
      <c r="AI53" s="18">
        <v>0</v>
      </c>
      <c r="AJ53" s="18">
        <f>VLOOKUP(D53,[1]Sheet1!$D$6:$DR$155,119,0)</f>
        <v>0</v>
      </c>
      <c r="AK53" s="18">
        <f>VLOOKUP(D53,[1]Sheet1!$D$6:$DQ$155,118,0)</f>
        <v>0</v>
      </c>
      <c r="AL53" s="23">
        <f t="shared" si="11"/>
        <v>0</v>
      </c>
      <c r="AM53" s="24">
        <f t="shared" si="12"/>
        <v>0</v>
      </c>
      <c r="AN53" s="24">
        <f t="shared" si="13"/>
        <v>0</v>
      </c>
      <c r="AO53" s="24">
        <f t="shared" si="14"/>
        <v>0</v>
      </c>
      <c r="AP53" s="24">
        <f t="shared" si="0"/>
        <v>0</v>
      </c>
      <c r="AQ53" s="24">
        <f t="shared" si="1"/>
        <v>0</v>
      </c>
      <c r="AR53" s="24">
        <f t="shared" si="15"/>
        <v>0</v>
      </c>
      <c r="AS53" s="25" t="s">
        <v>63</v>
      </c>
      <c r="AT53" s="26">
        <v>0</v>
      </c>
    </row>
    <row r="54" spans="1:46" ht="30" x14ac:dyDescent="0.25">
      <c r="A54" s="7">
        <v>50</v>
      </c>
      <c r="B54" s="8" t="str">
        <f t="shared" si="3"/>
        <v>SHE394</v>
      </c>
      <c r="C54" s="8" t="s">
        <v>52</v>
      </c>
      <c r="D54" s="8" t="s">
        <v>226</v>
      </c>
      <c r="E54" s="9" t="s">
        <v>227</v>
      </c>
      <c r="F54" s="8" t="s">
        <v>55</v>
      </c>
      <c r="G54" s="8" t="s">
        <v>83</v>
      </c>
      <c r="H54" s="10" t="s">
        <v>144</v>
      </c>
      <c r="I54" s="11" t="s">
        <v>58</v>
      </c>
      <c r="J54" s="12">
        <v>45980</v>
      </c>
      <c r="K54" s="13" t="s">
        <v>93</v>
      </c>
      <c r="L54" s="14">
        <v>673302120000411</v>
      </c>
      <c r="M54" s="14" t="s">
        <v>106</v>
      </c>
      <c r="N54" s="14">
        <v>101436218917</v>
      </c>
      <c r="O54" s="13">
        <v>3813632605</v>
      </c>
      <c r="P54" s="15">
        <v>0</v>
      </c>
      <c r="Q54" s="16" t="s">
        <v>62</v>
      </c>
      <c r="R54" s="17">
        <v>489.5</v>
      </c>
      <c r="S54" s="18">
        <f t="shared" si="4"/>
        <v>7342.5</v>
      </c>
      <c r="T54" s="8">
        <v>20.5</v>
      </c>
      <c r="U54" s="19">
        <v>0</v>
      </c>
      <c r="V54" s="19">
        <v>0</v>
      </c>
      <c r="W54" s="19">
        <v>3.5</v>
      </c>
      <c r="X54" s="19">
        <v>0</v>
      </c>
      <c r="Y54" s="19">
        <v>4</v>
      </c>
      <c r="Z54" s="19">
        <v>0</v>
      </c>
      <c r="AA54" s="20">
        <f t="shared" si="5"/>
        <v>20.5</v>
      </c>
      <c r="AB54" s="21">
        <f t="shared" si="6"/>
        <v>28</v>
      </c>
      <c r="AC54" s="22">
        <f t="shared" si="7"/>
        <v>10034.75</v>
      </c>
      <c r="AD54" s="22">
        <f t="shared" si="8"/>
        <v>0</v>
      </c>
      <c r="AE54" s="18">
        <f t="shared" si="9"/>
        <v>0</v>
      </c>
      <c r="AF54" s="18">
        <v>0</v>
      </c>
      <c r="AG54" s="18">
        <v>0</v>
      </c>
      <c r="AH54" s="23">
        <f t="shared" si="10"/>
        <v>10034.75</v>
      </c>
      <c r="AI54" s="18">
        <v>0</v>
      </c>
      <c r="AJ54" s="18">
        <f>VLOOKUP(D54,[1]Sheet1!$D$6:$DR$155,119,0)</f>
        <v>0</v>
      </c>
      <c r="AK54" s="18">
        <f>VLOOKUP(D54,[1]Sheet1!$D$6:$DQ$155,118,0)</f>
        <v>0</v>
      </c>
      <c r="AL54" s="23">
        <f t="shared" si="11"/>
        <v>10034.75</v>
      </c>
      <c r="AM54" s="24">
        <f t="shared" si="12"/>
        <v>1204.1699999999998</v>
      </c>
      <c r="AN54" s="24">
        <f t="shared" si="13"/>
        <v>75.26062499999999</v>
      </c>
      <c r="AO54" s="24">
        <f t="shared" si="14"/>
        <v>0</v>
      </c>
      <c r="AP54" s="24">
        <f t="shared" si="0"/>
        <v>1305</v>
      </c>
      <c r="AQ54" s="24">
        <f t="shared" si="1"/>
        <v>326</v>
      </c>
      <c r="AR54" s="24">
        <f t="shared" si="15"/>
        <v>8755.3193750000009</v>
      </c>
      <c r="AS54" s="25" t="s">
        <v>63</v>
      </c>
      <c r="AT54" s="26">
        <v>0</v>
      </c>
    </row>
    <row r="55" spans="1:46" ht="30" x14ac:dyDescent="0.25">
      <c r="A55" s="7">
        <v>51</v>
      </c>
      <c r="B55" s="8" t="str">
        <f t="shared" si="3"/>
        <v>SHE397</v>
      </c>
      <c r="C55" s="8" t="s">
        <v>52</v>
      </c>
      <c r="D55" s="8" t="s">
        <v>228</v>
      </c>
      <c r="E55" s="9" t="s">
        <v>229</v>
      </c>
      <c r="F55" s="8" t="s">
        <v>55</v>
      </c>
      <c r="G55" s="8" t="s">
        <v>67</v>
      </c>
      <c r="H55" s="10" t="s">
        <v>144</v>
      </c>
      <c r="I55" s="11" t="s">
        <v>58</v>
      </c>
      <c r="J55" s="12">
        <v>45980</v>
      </c>
      <c r="K55" s="13" t="s">
        <v>59</v>
      </c>
      <c r="L55" s="14">
        <v>42427129484</v>
      </c>
      <c r="M55" s="14" t="s">
        <v>140</v>
      </c>
      <c r="N55" s="14">
        <v>102265858880</v>
      </c>
      <c r="O55" s="13">
        <v>3813629029</v>
      </c>
      <c r="P55" s="15">
        <v>0</v>
      </c>
      <c r="Q55" s="16" t="s">
        <v>62</v>
      </c>
      <c r="R55" s="17">
        <v>489.5</v>
      </c>
      <c r="S55" s="18">
        <f t="shared" si="4"/>
        <v>7342.5</v>
      </c>
      <c r="T55" s="8">
        <v>22</v>
      </c>
      <c r="U55" s="19">
        <v>0</v>
      </c>
      <c r="V55" s="19">
        <v>0</v>
      </c>
      <c r="W55" s="19">
        <v>2</v>
      </c>
      <c r="X55" s="19">
        <v>0</v>
      </c>
      <c r="Y55" s="19">
        <v>4</v>
      </c>
      <c r="Z55" s="19">
        <v>0</v>
      </c>
      <c r="AA55" s="20">
        <f t="shared" si="5"/>
        <v>22</v>
      </c>
      <c r="AB55" s="21">
        <f t="shared" si="6"/>
        <v>28</v>
      </c>
      <c r="AC55" s="22">
        <f t="shared" si="7"/>
        <v>10769</v>
      </c>
      <c r="AD55" s="22">
        <f t="shared" si="8"/>
        <v>0</v>
      </c>
      <c r="AE55" s="18">
        <f t="shared" si="9"/>
        <v>0</v>
      </c>
      <c r="AF55" s="18">
        <v>0</v>
      </c>
      <c r="AG55" s="18">
        <v>0</v>
      </c>
      <c r="AH55" s="23">
        <f t="shared" si="10"/>
        <v>10769</v>
      </c>
      <c r="AI55" s="18">
        <v>0</v>
      </c>
      <c r="AJ55" s="18">
        <f>VLOOKUP(D55,[1]Sheet1!$D$6:$DR$155,119,0)</f>
        <v>0</v>
      </c>
      <c r="AK55" s="18">
        <f>VLOOKUP(D55,[1]Sheet1!$D$6:$DQ$155,118,0)</f>
        <v>0</v>
      </c>
      <c r="AL55" s="23">
        <f t="shared" si="11"/>
        <v>10769</v>
      </c>
      <c r="AM55" s="24">
        <f t="shared" si="12"/>
        <v>1292.28</v>
      </c>
      <c r="AN55" s="24">
        <f t="shared" si="13"/>
        <v>80.767499999999998</v>
      </c>
      <c r="AO55" s="24">
        <f t="shared" si="14"/>
        <v>0</v>
      </c>
      <c r="AP55" s="24">
        <f t="shared" si="0"/>
        <v>1400</v>
      </c>
      <c r="AQ55" s="24">
        <f t="shared" si="1"/>
        <v>350</v>
      </c>
      <c r="AR55" s="24">
        <f t="shared" si="15"/>
        <v>9395.9524999999994</v>
      </c>
      <c r="AS55" s="25" t="s">
        <v>63</v>
      </c>
      <c r="AT55" s="26">
        <v>0</v>
      </c>
    </row>
    <row r="56" spans="1:46" ht="30" x14ac:dyDescent="0.25">
      <c r="A56" s="7">
        <v>52</v>
      </c>
      <c r="B56" s="8" t="str">
        <f t="shared" si="3"/>
        <v>SHE398</v>
      </c>
      <c r="C56" s="8" t="s">
        <v>52</v>
      </c>
      <c r="D56" s="8" t="s">
        <v>230</v>
      </c>
      <c r="E56" s="9" t="s">
        <v>231</v>
      </c>
      <c r="F56" s="8" t="s">
        <v>55</v>
      </c>
      <c r="G56" s="8" t="s">
        <v>67</v>
      </c>
      <c r="H56" s="10" t="s">
        <v>144</v>
      </c>
      <c r="I56" s="11" t="s">
        <v>58</v>
      </c>
      <c r="J56" s="12">
        <v>45980</v>
      </c>
      <c r="K56" s="13" t="s">
        <v>155</v>
      </c>
      <c r="L56" s="14" t="s">
        <v>232</v>
      </c>
      <c r="M56" s="14" t="s">
        <v>194</v>
      </c>
      <c r="N56" s="14">
        <v>101480856855</v>
      </c>
      <c r="O56" s="13">
        <v>3813629021</v>
      </c>
      <c r="P56" s="15">
        <v>0</v>
      </c>
      <c r="Q56" s="16" t="s">
        <v>62</v>
      </c>
      <c r="R56" s="17">
        <v>489.5</v>
      </c>
      <c r="S56" s="18">
        <f t="shared" si="4"/>
        <v>7342.5</v>
      </c>
      <c r="T56" s="8">
        <v>20.5</v>
      </c>
      <c r="U56" s="19">
        <v>0</v>
      </c>
      <c r="V56" s="19">
        <v>0</v>
      </c>
      <c r="W56" s="19">
        <v>3.5</v>
      </c>
      <c r="X56" s="19">
        <v>0</v>
      </c>
      <c r="Y56" s="19">
        <v>4</v>
      </c>
      <c r="Z56" s="19">
        <v>0</v>
      </c>
      <c r="AA56" s="20">
        <f t="shared" si="5"/>
        <v>20.5</v>
      </c>
      <c r="AB56" s="21">
        <f t="shared" si="6"/>
        <v>28</v>
      </c>
      <c r="AC56" s="22">
        <f t="shared" si="7"/>
        <v>10034.75</v>
      </c>
      <c r="AD56" s="22">
        <f t="shared" si="8"/>
        <v>0</v>
      </c>
      <c r="AE56" s="18">
        <f t="shared" si="9"/>
        <v>0</v>
      </c>
      <c r="AF56" s="18">
        <v>0</v>
      </c>
      <c r="AG56" s="18">
        <v>0</v>
      </c>
      <c r="AH56" s="23">
        <f t="shared" si="10"/>
        <v>10034.75</v>
      </c>
      <c r="AI56" s="18">
        <v>0</v>
      </c>
      <c r="AJ56" s="18">
        <f>VLOOKUP(D56,[1]Sheet1!$D$6:$DR$155,119,0)</f>
        <v>0</v>
      </c>
      <c r="AK56" s="18">
        <f>VLOOKUP(D56,[1]Sheet1!$D$6:$DQ$155,118,0)</f>
        <v>0</v>
      </c>
      <c r="AL56" s="23">
        <f t="shared" si="11"/>
        <v>10034.75</v>
      </c>
      <c r="AM56" s="24">
        <f t="shared" si="12"/>
        <v>1204.1699999999998</v>
      </c>
      <c r="AN56" s="24">
        <f t="shared" si="13"/>
        <v>75.26062499999999</v>
      </c>
      <c r="AO56" s="24">
        <f t="shared" si="14"/>
        <v>0</v>
      </c>
      <c r="AP56" s="24">
        <f t="shared" si="0"/>
        <v>1305</v>
      </c>
      <c r="AQ56" s="24">
        <f t="shared" si="1"/>
        <v>326</v>
      </c>
      <c r="AR56" s="24">
        <f t="shared" si="15"/>
        <v>8755.3193750000009</v>
      </c>
      <c r="AS56" s="25" t="s">
        <v>63</v>
      </c>
      <c r="AT56" s="26">
        <v>0</v>
      </c>
    </row>
    <row r="57" spans="1:46" ht="30" x14ac:dyDescent="0.25">
      <c r="A57" s="7">
        <v>53</v>
      </c>
      <c r="B57" s="8" t="str">
        <f t="shared" si="3"/>
        <v>SHE401</v>
      </c>
      <c r="C57" s="8" t="s">
        <v>52</v>
      </c>
      <c r="D57" s="8" t="s">
        <v>233</v>
      </c>
      <c r="E57" s="9" t="s">
        <v>234</v>
      </c>
      <c r="F57" s="8" t="s">
        <v>55</v>
      </c>
      <c r="G57" s="8" t="s">
        <v>67</v>
      </c>
      <c r="H57" s="10" t="s">
        <v>144</v>
      </c>
      <c r="I57" s="11" t="s">
        <v>58</v>
      </c>
      <c r="J57" s="12">
        <v>45980</v>
      </c>
      <c r="K57" s="13" t="s">
        <v>59</v>
      </c>
      <c r="L57" s="14">
        <v>40318261160</v>
      </c>
      <c r="M57" s="14" t="s">
        <v>140</v>
      </c>
      <c r="N57" s="14">
        <v>102267993800</v>
      </c>
      <c r="O57" s="13">
        <v>3813629111</v>
      </c>
      <c r="P57" s="15">
        <v>0</v>
      </c>
      <c r="Q57" s="16" t="s">
        <v>62</v>
      </c>
      <c r="R57" s="17">
        <v>489.5</v>
      </c>
      <c r="S57" s="18">
        <f t="shared" si="4"/>
        <v>7342.5</v>
      </c>
      <c r="T57" s="8">
        <v>23</v>
      </c>
      <c r="U57" s="19">
        <v>0</v>
      </c>
      <c r="V57" s="19">
        <v>0</v>
      </c>
      <c r="W57" s="19">
        <v>1</v>
      </c>
      <c r="X57" s="19">
        <v>0</v>
      </c>
      <c r="Y57" s="19">
        <v>4</v>
      </c>
      <c r="Z57" s="19">
        <v>0</v>
      </c>
      <c r="AA57" s="20">
        <f t="shared" si="5"/>
        <v>23</v>
      </c>
      <c r="AB57" s="21">
        <f t="shared" si="6"/>
        <v>28</v>
      </c>
      <c r="AC57" s="22">
        <f t="shared" si="7"/>
        <v>11258.5</v>
      </c>
      <c r="AD57" s="22">
        <f t="shared" si="8"/>
        <v>0</v>
      </c>
      <c r="AE57" s="18">
        <f t="shared" si="9"/>
        <v>0</v>
      </c>
      <c r="AF57" s="18">
        <v>0</v>
      </c>
      <c r="AG57" s="18">
        <v>0</v>
      </c>
      <c r="AH57" s="23">
        <f t="shared" si="10"/>
        <v>11258.5</v>
      </c>
      <c r="AI57" s="18">
        <v>0</v>
      </c>
      <c r="AJ57" s="18">
        <f>VLOOKUP(D57,[1]Sheet1!$D$6:$DR$155,119,0)</f>
        <v>0</v>
      </c>
      <c r="AK57" s="18">
        <f>VLOOKUP(D57,[1]Sheet1!$D$6:$DQ$155,118,0)</f>
        <v>0</v>
      </c>
      <c r="AL57" s="23">
        <f t="shared" si="11"/>
        <v>11258.5</v>
      </c>
      <c r="AM57" s="24">
        <f t="shared" si="12"/>
        <v>1351.02</v>
      </c>
      <c r="AN57" s="24">
        <f t="shared" si="13"/>
        <v>84.438749999999999</v>
      </c>
      <c r="AO57" s="24">
        <f t="shared" si="14"/>
        <v>0</v>
      </c>
      <c r="AP57" s="24">
        <f t="shared" si="0"/>
        <v>1464</v>
      </c>
      <c r="AQ57" s="24">
        <f t="shared" si="1"/>
        <v>366</v>
      </c>
      <c r="AR57" s="24">
        <f t="shared" si="15"/>
        <v>9823.0412500000002</v>
      </c>
      <c r="AS57" s="25" t="s">
        <v>63</v>
      </c>
      <c r="AT57" s="26">
        <v>0</v>
      </c>
    </row>
    <row r="58" spans="1:46" ht="30" x14ac:dyDescent="0.25">
      <c r="A58" s="7">
        <v>54</v>
      </c>
      <c r="B58" s="8" t="str">
        <f t="shared" si="3"/>
        <v>SHE407</v>
      </c>
      <c r="C58" s="8" t="s">
        <v>64</v>
      </c>
      <c r="D58" s="8" t="s">
        <v>235</v>
      </c>
      <c r="E58" s="9" t="s">
        <v>236</v>
      </c>
      <c r="F58" s="8" t="s">
        <v>55</v>
      </c>
      <c r="G58" s="8" t="s">
        <v>67</v>
      </c>
      <c r="H58" s="10" t="s">
        <v>144</v>
      </c>
      <c r="I58" s="11" t="s">
        <v>58</v>
      </c>
      <c r="J58" s="12">
        <v>45988</v>
      </c>
      <c r="K58" s="13" t="s">
        <v>93</v>
      </c>
      <c r="L58" s="14">
        <v>673302010005623</v>
      </c>
      <c r="M58" s="14" t="s">
        <v>106</v>
      </c>
      <c r="N58" s="14">
        <v>101336587326</v>
      </c>
      <c r="O58" s="13">
        <v>3813633666</v>
      </c>
      <c r="P58" s="15">
        <v>0</v>
      </c>
      <c r="Q58" s="16" t="s">
        <v>62</v>
      </c>
      <c r="R58" s="17">
        <v>489.5</v>
      </c>
      <c r="S58" s="18">
        <f t="shared" si="4"/>
        <v>7342.5</v>
      </c>
      <c r="T58" s="8">
        <v>24</v>
      </c>
      <c r="U58" s="19">
        <v>0</v>
      </c>
      <c r="V58" s="19">
        <v>61</v>
      </c>
      <c r="W58" s="19">
        <v>0</v>
      </c>
      <c r="X58" s="19">
        <v>0</v>
      </c>
      <c r="Y58" s="19">
        <v>4</v>
      </c>
      <c r="Z58" s="19">
        <v>0</v>
      </c>
      <c r="AA58" s="20">
        <f t="shared" si="5"/>
        <v>24</v>
      </c>
      <c r="AB58" s="21">
        <f t="shared" si="6"/>
        <v>28</v>
      </c>
      <c r="AC58" s="22">
        <f t="shared" si="7"/>
        <v>11748</v>
      </c>
      <c r="AD58" s="22">
        <f t="shared" si="8"/>
        <v>0</v>
      </c>
      <c r="AE58" s="18">
        <f t="shared" si="9"/>
        <v>7464.875</v>
      </c>
      <c r="AF58" s="18">
        <v>0</v>
      </c>
      <c r="AG58" s="18">
        <v>0</v>
      </c>
      <c r="AH58" s="23">
        <f t="shared" si="10"/>
        <v>19212.875</v>
      </c>
      <c r="AI58" s="18">
        <v>0</v>
      </c>
      <c r="AJ58" s="18">
        <f>VLOOKUP(D58,[1]Sheet1!$D$6:$DR$155,119,0)</f>
        <v>0</v>
      </c>
      <c r="AK58" s="18">
        <f>VLOOKUP(D58,[1]Sheet1!$D$6:$DQ$155,118,0)</f>
        <v>0</v>
      </c>
      <c r="AL58" s="23">
        <f t="shared" si="11"/>
        <v>19212.875</v>
      </c>
      <c r="AM58" s="24">
        <f t="shared" si="12"/>
        <v>1800</v>
      </c>
      <c r="AN58" s="24">
        <f t="shared" si="13"/>
        <v>144.0965625</v>
      </c>
      <c r="AO58" s="24">
        <f t="shared" si="14"/>
        <v>200</v>
      </c>
      <c r="AP58" s="24">
        <f t="shared" si="0"/>
        <v>1950</v>
      </c>
      <c r="AQ58" s="24">
        <f t="shared" si="1"/>
        <v>624</v>
      </c>
      <c r="AR58" s="24">
        <f t="shared" si="15"/>
        <v>17068.778437500001</v>
      </c>
      <c r="AS58" s="25" t="s">
        <v>63</v>
      </c>
      <c r="AT58" s="26">
        <v>0</v>
      </c>
    </row>
    <row r="59" spans="1:46" ht="45" x14ac:dyDescent="0.25">
      <c r="A59" s="7">
        <v>55</v>
      </c>
      <c r="B59" s="8" t="str">
        <f t="shared" si="3"/>
        <v>CFCP0595</v>
      </c>
      <c r="C59" s="8" t="s">
        <v>52</v>
      </c>
      <c r="D59" s="8" t="s">
        <v>237</v>
      </c>
      <c r="E59" s="9" t="s">
        <v>238</v>
      </c>
      <c r="F59" s="8" t="s">
        <v>239</v>
      </c>
      <c r="G59" s="8" t="s">
        <v>240</v>
      </c>
      <c r="H59" s="10" t="s">
        <v>241</v>
      </c>
      <c r="I59" s="11" t="s">
        <v>58</v>
      </c>
      <c r="J59" s="12">
        <v>44746</v>
      </c>
      <c r="K59" s="13" t="s">
        <v>69</v>
      </c>
      <c r="L59" s="14" t="s">
        <v>242</v>
      </c>
      <c r="M59" s="14" t="s">
        <v>71</v>
      </c>
      <c r="N59" s="14">
        <v>101692592908</v>
      </c>
      <c r="O59" s="13">
        <v>3813180226</v>
      </c>
      <c r="P59" s="15">
        <v>0</v>
      </c>
      <c r="Q59" s="16" t="s">
        <v>62</v>
      </c>
      <c r="R59" s="17">
        <v>489.5</v>
      </c>
      <c r="S59" s="18">
        <f t="shared" si="4"/>
        <v>7342.5</v>
      </c>
      <c r="T59" s="8">
        <v>13.5</v>
      </c>
      <c r="U59" s="19">
        <v>0</v>
      </c>
      <c r="V59" s="19">
        <v>0</v>
      </c>
      <c r="W59" s="19">
        <v>11.5</v>
      </c>
      <c r="X59" s="19">
        <v>0</v>
      </c>
      <c r="Y59" s="19">
        <v>3</v>
      </c>
      <c r="Z59" s="19">
        <v>0</v>
      </c>
      <c r="AA59" s="20">
        <f t="shared" si="5"/>
        <v>13.5</v>
      </c>
      <c r="AB59" s="21">
        <f t="shared" si="6"/>
        <v>28</v>
      </c>
      <c r="AC59" s="22">
        <f t="shared" si="7"/>
        <v>6608.25</v>
      </c>
      <c r="AD59" s="22">
        <f t="shared" si="8"/>
        <v>0</v>
      </c>
      <c r="AE59" s="18">
        <f t="shared" si="9"/>
        <v>0</v>
      </c>
      <c r="AF59" s="18">
        <v>0</v>
      </c>
      <c r="AG59" s="18">
        <v>0</v>
      </c>
      <c r="AH59" s="23">
        <f t="shared" si="10"/>
        <v>6608.25</v>
      </c>
      <c r="AI59" s="18">
        <v>0</v>
      </c>
      <c r="AJ59" s="18">
        <f>VLOOKUP(D59,[1]Sheet1!$D$6:$DR$155,119,0)</f>
        <v>0</v>
      </c>
      <c r="AK59" s="18">
        <f>VLOOKUP(D59,[1]Sheet1!$D$6:$DQ$155,118,0)</f>
        <v>0</v>
      </c>
      <c r="AL59" s="23">
        <f t="shared" si="11"/>
        <v>6608.25</v>
      </c>
      <c r="AM59" s="24">
        <f t="shared" si="12"/>
        <v>792.99</v>
      </c>
      <c r="AN59" s="24">
        <f t="shared" si="13"/>
        <v>49.561875000000001</v>
      </c>
      <c r="AO59" s="24">
        <f t="shared" si="14"/>
        <v>0</v>
      </c>
      <c r="AP59" s="24">
        <f t="shared" si="0"/>
        <v>859</v>
      </c>
      <c r="AQ59" s="24">
        <f t="shared" si="1"/>
        <v>215</v>
      </c>
      <c r="AR59" s="24">
        <f t="shared" si="15"/>
        <v>5765.6981249999999</v>
      </c>
      <c r="AS59" s="25" t="s">
        <v>63</v>
      </c>
      <c r="AT59" s="26">
        <v>0</v>
      </c>
    </row>
    <row r="60" spans="1:46" ht="30" x14ac:dyDescent="0.25">
      <c r="A60" s="7">
        <v>56</v>
      </c>
      <c r="B60" s="8" t="str">
        <f t="shared" si="3"/>
        <v>CFCP0813</v>
      </c>
      <c r="C60" s="8" t="s">
        <v>52</v>
      </c>
      <c r="D60" s="8" t="s">
        <v>243</v>
      </c>
      <c r="E60" s="9" t="s">
        <v>244</v>
      </c>
      <c r="F60" s="8" t="s">
        <v>239</v>
      </c>
      <c r="G60" s="8" t="s">
        <v>245</v>
      </c>
      <c r="H60" s="10" t="s">
        <v>246</v>
      </c>
      <c r="I60" s="11" t="s">
        <v>58</v>
      </c>
      <c r="J60" s="12">
        <v>45450</v>
      </c>
      <c r="K60" s="13" t="s">
        <v>69</v>
      </c>
      <c r="L60" s="14" t="s">
        <v>247</v>
      </c>
      <c r="M60" s="14" t="s">
        <v>71</v>
      </c>
      <c r="N60" s="14">
        <v>101884083757</v>
      </c>
      <c r="O60" s="13">
        <v>3813165429</v>
      </c>
      <c r="P60" s="15">
        <v>0</v>
      </c>
      <c r="Q60" s="16" t="s">
        <v>62</v>
      </c>
      <c r="R60" s="17">
        <v>489.5</v>
      </c>
      <c r="S60" s="18">
        <f t="shared" si="4"/>
        <v>7342.5</v>
      </c>
      <c r="T60" s="8">
        <v>24</v>
      </c>
      <c r="U60" s="19">
        <v>0</v>
      </c>
      <c r="V60" s="19">
        <v>50</v>
      </c>
      <c r="W60" s="19">
        <v>0</v>
      </c>
      <c r="X60" s="19">
        <v>0</v>
      </c>
      <c r="Y60" s="19">
        <v>4</v>
      </c>
      <c r="Z60" s="19">
        <v>0</v>
      </c>
      <c r="AA60" s="20">
        <f t="shared" si="5"/>
        <v>24</v>
      </c>
      <c r="AB60" s="21">
        <f t="shared" si="6"/>
        <v>28</v>
      </c>
      <c r="AC60" s="22">
        <f t="shared" si="7"/>
        <v>11748</v>
      </c>
      <c r="AD60" s="22">
        <f t="shared" si="8"/>
        <v>0</v>
      </c>
      <c r="AE60" s="18">
        <f t="shared" si="9"/>
        <v>6118.75</v>
      </c>
      <c r="AF60" s="18">
        <v>0</v>
      </c>
      <c r="AG60" s="18">
        <v>0</v>
      </c>
      <c r="AH60" s="23">
        <f t="shared" si="10"/>
        <v>17866.75</v>
      </c>
      <c r="AI60" s="18">
        <v>0</v>
      </c>
      <c r="AJ60" s="18">
        <f>VLOOKUP(D60,[1]Sheet1!$D$6:$DR$155,119,0)</f>
        <v>0</v>
      </c>
      <c r="AK60" s="18">
        <f>VLOOKUP(D60,[1]Sheet1!$D$6:$DQ$155,118,0)</f>
        <v>0</v>
      </c>
      <c r="AL60" s="23">
        <f t="shared" si="11"/>
        <v>17866.75</v>
      </c>
      <c r="AM60" s="24">
        <f t="shared" si="12"/>
        <v>1800</v>
      </c>
      <c r="AN60" s="24">
        <f t="shared" si="13"/>
        <v>134.00062499999999</v>
      </c>
      <c r="AO60" s="24">
        <f t="shared" si="14"/>
        <v>200</v>
      </c>
      <c r="AP60" s="24">
        <f t="shared" si="0"/>
        <v>1950</v>
      </c>
      <c r="AQ60" s="24">
        <f t="shared" si="1"/>
        <v>581</v>
      </c>
      <c r="AR60" s="24">
        <f t="shared" si="15"/>
        <v>15732.749374999999</v>
      </c>
      <c r="AS60" s="25" t="s">
        <v>63</v>
      </c>
      <c r="AT60" s="26">
        <v>0</v>
      </c>
    </row>
    <row r="61" spans="1:46" ht="30" x14ac:dyDescent="0.25">
      <c r="A61" s="7">
        <v>57</v>
      </c>
      <c r="B61" s="8" t="str">
        <f t="shared" si="3"/>
        <v>CFCP0822</v>
      </c>
      <c r="C61" s="8" t="s">
        <v>52</v>
      </c>
      <c r="D61" s="8" t="s">
        <v>248</v>
      </c>
      <c r="E61" s="9" t="s">
        <v>249</v>
      </c>
      <c r="F61" s="8" t="s">
        <v>239</v>
      </c>
      <c r="G61" s="8" t="s">
        <v>240</v>
      </c>
      <c r="H61" s="10" t="s">
        <v>250</v>
      </c>
      <c r="I61" s="11" t="s">
        <v>58</v>
      </c>
      <c r="J61" s="12">
        <v>45464</v>
      </c>
      <c r="K61" s="13" t="s">
        <v>69</v>
      </c>
      <c r="L61" s="14" t="s">
        <v>251</v>
      </c>
      <c r="M61" s="14" t="s">
        <v>71</v>
      </c>
      <c r="N61" s="14">
        <v>102056489708</v>
      </c>
      <c r="O61" s="13">
        <v>3813166424</v>
      </c>
      <c r="P61" s="15">
        <v>0</v>
      </c>
      <c r="Q61" s="16" t="s">
        <v>62</v>
      </c>
      <c r="R61" s="17">
        <v>489.5</v>
      </c>
      <c r="S61" s="18">
        <f t="shared" si="4"/>
        <v>7342.5</v>
      </c>
      <c r="T61" s="8">
        <v>8.5</v>
      </c>
      <c r="U61" s="19">
        <v>0</v>
      </c>
      <c r="V61" s="19">
        <v>16.5</v>
      </c>
      <c r="W61" s="19">
        <v>17.5</v>
      </c>
      <c r="X61" s="19">
        <v>0</v>
      </c>
      <c r="Y61" s="19">
        <v>2</v>
      </c>
      <c r="Z61" s="19">
        <v>0</v>
      </c>
      <c r="AA61" s="20">
        <f t="shared" si="5"/>
        <v>8.5</v>
      </c>
      <c r="AB61" s="21">
        <f t="shared" si="6"/>
        <v>28</v>
      </c>
      <c r="AC61" s="22">
        <f t="shared" si="7"/>
        <v>4160.75</v>
      </c>
      <c r="AD61" s="22">
        <f t="shared" si="8"/>
        <v>0</v>
      </c>
      <c r="AE61" s="18">
        <f t="shared" si="9"/>
        <v>2019.1875</v>
      </c>
      <c r="AF61" s="18">
        <v>0</v>
      </c>
      <c r="AG61" s="18">
        <v>0</v>
      </c>
      <c r="AH61" s="23">
        <f t="shared" si="10"/>
        <v>6179.9375</v>
      </c>
      <c r="AI61" s="18">
        <v>0</v>
      </c>
      <c r="AJ61" s="18">
        <f>VLOOKUP(D61,[1]Sheet1!$D$6:$DR$155,119,0)</f>
        <v>0</v>
      </c>
      <c r="AK61" s="18">
        <f>VLOOKUP(D61,[1]Sheet1!$D$6:$DQ$155,118,0)</f>
        <v>0</v>
      </c>
      <c r="AL61" s="23">
        <f t="shared" si="11"/>
        <v>6179.9375</v>
      </c>
      <c r="AM61" s="24">
        <f t="shared" si="12"/>
        <v>741.59249999999997</v>
      </c>
      <c r="AN61" s="24">
        <f t="shared" si="13"/>
        <v>46.349531249999998</v>
      </c>
      <c r="AO61" s="24">
        <f t="shared" si="14"/>
        <v>0</v>
      </c>
      <c r="AP61" s="24">
        <f t="shared" si="0"/>
        <v>803</v>
      </c>
      <c r="AQ61" s="24">
        <f t="shared" si="1"/>
        <v>201</v>
      </c>
      <c r="AR61" s="24">
        <f t="shared" si="15"/>
        <v>5391.9954687500003</v>
      </c>
      <c r="AS61" s="25" t="s">
        <v>63</v>
      </c>
      <c r="AT61" s="26">
        <v>0</v>
      </c>
    </row>
    <row r="62" spans="1:46" ht="30" x14ac:dyDescent="0.25">
      <c r="A62" s="7">
        <v>58</v>
      </c>
      <c r="B62" s="8" t="str">
        <f t="shared" si="3"/>
        <v>CFCP0740</v>
      </c>
      <c r="C62" s="8" t="s">
        <v>141</v>
      </c>
      <c r="D62" s="8" t="s">
        <v>252</v>
      </c>
      <c r="E62" s="9" t="s">
        <v>253</v>
      </c>
      <c r="F62" s="8" t="s">
        <v>239</v>
      </c>
      <c r="G62" s="8" t="s">
        <v>245</v>
      </c>
      <c r="H62" s="10" t="s">
        <v>144</v>
      </c>
      <c r="I62" s="11" t="s">
        <v>58</v>
      </c>
      <c r="J62" s="12">
        <v>45510</v>
      </c>
      <c r="K62" s="13" t="s">
        <v>155</v>
      </c>
      <c r="L62" s="14" t="s">
        <v>254</v>
      </c>
      <c r="M62" s="14" t="s">
        <v>255</v>
      </c>
      <c r="N62" s="14">
        <v>102111998970</v>
      </c>
      <c r="O62" s="13">
        <v>3813224475</v>
      </c>
      <c r="P62" s="15">
        <v>0</v>
      </c>
      <c r="Q62" s="16" t="s">
        <v>62</v>
      </c>
      <c r="R62" s="17">
        <v>489.5</v>
      </c>
      <c r="S62" s="18">
        <f t="shared" si="4"/>
        <v>7342.5</v>
      </c>
      <c r="T62" s="8">
        <v>17</v>
      </c>
      <c r="U62" s="19">
        <v>0</v>
      </c>
      <c r="V62" s="19">
        <v>0</v>
      </c>
      <c r="W62" s="19">
        <v>7</v>
      </c>
      <c r="X62" s="19">
        <v>0</v>
      </c>
      <c r="Y62" s="19">
        <v>4</v>
      </c>
      <c r="Z62" s="19">
        <v>0</v>
      </c>
      <c r="AA62" s="20">
        <f t="shared" si="5"/>
        <v>17</v>
      </c>
      <c r="AB62" s="21">
        <f t="shared" si="6"/>
        <v>28</v>
      </c>
      <c r="AC62" s="22">
        <f t="shared" si="7"/>
        <v>8321.5</v>
      </c>
      <c r="AD62" s="22">
        <f t="shared" si="8"/>
        <v>0</v>
      </c>
      <c r="AE62" s="18">
        <f t="shared" si="9"/>
        <v>0</v>
      </c>
      <c r="AF62" s="18">
        <v>0</v>
      </c>
      <c r="AG62" s="18">
        <v>0</v>
      </c>
      <c r="AH62" s="23">
        <f t="shared" si="10"/>
        <v>8321.5</v>
      </c>
      <c r="AI62" s="18">
        <v>0</v>
      </c>
      <c r="AJ62" s="18">
        <f>VLOOKUP(D62,[1]Sheet1!$D$6:$DR$155,119,0)</f>
        <v>0</v>
      </c>
      <c r="AK62" s="18">
        <f>VLOOKUP(D62,[1]Sheet1!$D$6:$DQ$155,118,0)</f>
        <v>0</v>
      </c>
      <c r="AL62" s="23">
        <f t="shared" si="11"/>
        <v>8321.5</v>
      </c>
      <c r="AM62" s="24">
        <f t="shared" si="12"/>
        <v>998.57999999999993</v>
      </c>
      <c r="AN62" s="24">
        <f t="shared" si="13"/>
        <v>62.411249999999995</v>
      </c>
      <c r="AO62" s="24">
        <f t="shared" si="14"/>
        <v>0</v>
      </c>
      <c r="AP62" s="24">
        <f t="shared" si="0"/>
        <v>1082</v>
      </c>
      <c r="AQ62" s="24">
        <f t="shared" si="1"/>
        <v>270</v>
      </c>
      <c r="AR62" s="24">
        <f t="shared" si="15"/>
        <v>7260.50875</v>
      </c>
      <c r="AS62" s="25" t="s">
        <v>63</v>
      </c>
      <c r="AT62" s="26">
        <v>0</v>
      </c>
    </row>
    <row r="63" spans="1:46" ht="30" x14ac:dyDescent="0.25">
      <c r="A63" s="7">
        <v>59</v>
      </c>
      <c r="B63" s="8" t="str">
        <f t="shared" si="3"/>
        <v>CFCP0733</v>
      </c>
      <c r="C63" s="8" t="s">
        <v>141</v>
      </c>
      <c r="D63" s="8" t="s">
        <v>256</v>
      </c>
      <c r="E63" s="9" t="s">
        <v>257</v>
      </c>
      <c r="F63" s="8" t="s">
        <v>239</v>
      </c>
      <c r="G63" s="8" t="s">
        <v>245</v>
      </c>
      <c r="H63" s="10" t="s">
        <v>68</v>
      </c>
      <c r="I63" s="11" t="s">
        <v>58</v>
      </c>
      <c r="J63" s="12">
        <v>45582</v>
      </c>
      <c r="K63" s="13" t="s">
        <v>155</v>
      </c>
      <c r="L63" s="14" t="s">
        <v>258</v>
      </c>
      <c r="M63" s="14" t="s">
        <v>255</v>
      </c>
      <c r="N63" s="14">
        <v>102136157200</v>
      </c>
      <c r="O63" s="13">
        <v>3813287308</v>
      </c>
      <c r="P63" s="15">
        <v>0</v>
      </c>
      <c r="Q63" s="16" t="s">
        <v>62</v>
      </c>
      <c r="R63" s="17">
        <v>489.5</v>
      </c>
      <c r="S63" s="18">
        <f t="shared" si="4"/>
        <v>7342.5</v>
      </c>
      <c r="T63" s="8">
        <v>23</v>
      </c>
      <c r="U63" s="19">
        <v>0</v>
      </c>
      <c r="V63" s="19">
        <v>0</v>
      </c>
      <c r="W63" s="19">
        <v>1</v>
      </c>
      <c r="X63" s="19">
        <v>0</v>
      </c>
      <c r="Y63" s="19">
        <v>4</v>
      </c>
      <c r="Z63" s="19">
        <v>0</v>
      </c>
      <c r="AA63" s="20">
        <f t="shared" si="5"/>
        <v>23</v>
      </c>
      <c r="AB63" s="21">
        <f t="shared" si="6"/>
        <v>28</v>
      </c>
      <c r="AC63" s="22">
        <f t="shared" si="7"/>
        <v>11258.5</v>
      </c>
      <c r="AD63" s="22">
        <f t="shared" si="8"/>
        <v>0</v>
      </c>
      <c r="AE63" s="18">
        <f t="shared" si="9"/>
        <v>0</v>
      </c>
      <c r="AF63" s="18">
        <v>0</v>
      </c>
      <c r="AG63" s="18">
        <v>0</v>
      </c>
      <c r="AH63" s="23">
        <f t="shared" si="10"/>
        <v>11258.5</v>
      </c>
      <c r="AI63" s="18">
        <v>0</v>
      </c>
      <c r="AJ63" s="18">
        <f>VLOOKUP(D63,[1]Sheet1!$D$6:$DR$155,119,0)</f>
        <v>300</v>
      </c>
      <c r="AK63" s="18">
        <f>VLOOKUP(D63,[1]Sheet1!$D$6:$DQ$155,118,0)</f>
        <v>0</v>
      </c>
      <c r="AL63" s="23">
        <f t="shared" si="11"/>
        <v>10958.5</v>
      </c>
      <c r="AM63" s="24">
        <f t="shared" si="12"/>
        <v>1351.02</v>
      </c>
      <c r="AN63" s="24">
        <f t="shared" si="13"/>
        <v>84.438749999999999</v>
      </c>
      <c r="AO63" s="24">
        <f t="shared" si="14"/>
        <v>0</v>
      </c>
      <c r="AP63" s="24">
        <f t="shared" si="0"/>
        <v>1464</v>
      </c>
      <c r="AQ63" s="24">
        <f t="shared" si="1"/>
        <v>366</v>
      </c>
      <c r="AR63" s="24">
        <f t="shared" si="15"/>
        <v>9523.0412500000002</v>
      </c>
      <c r="AS63" s="25" t="s">
        <v>63</v>
      </c>
      <c r="AT63" s="26">
        <v>0</v>
      </c>
    </row>
    <row r="64" spans="1:46" ht="30" x14ac:dyDescent="0.25">
      <c r="A64" s="7">
        <v>60</v>
      </c>
      <c r="B64" s="8" t="str">
        <f t="shared" si="3"/>
        <v>CFCP0760</v>
      </c>
      <c r="C64" s="8" t="s">
        <v>141</v>
      </c>
      <c r="D64" s="8" t="s">
        <v>259</v>
      </c>
      <c r="E64" s="9" t="s">
        <v>260</v>
      </c>
      <c r="F64" s="8" t="s">
        <v>239</v>
      </c>
      <c r="G64" s="8" t="s">
        <v>261</v>
      </c>
      <c r="H64" s="10" t="s">
        <v>68</v>
      </c>
      <c r="I64" s="11" t="s">
        <v>58</v>
      </c>
      <c r="J64" s="12">
        <v>45323</v>
      </c>
      <c r="K64" s="13" t="s">
        <v>155</v>
      </c>
      <c r="L64" s="14" t="s">
        <v>262</v>
      </c>
      <c r="M64" s="14" t="s">
        <v>182</v>
      </c>
      <c r="N64" s="14">
        <v>101343547169</v>
      </c>
      <c r="O64" s="13">
        <v>3813036417</v>
      </c>
      <c r="P64" s="15">
        <v>0</v>
      </c>
      <c r="Q64" s="16" t="s">
        <v>62</v>
      </c>
      <c r="R64" s="17">
        <v>489.5</v>
      </c>
      <c r="S64" s="18">
        <f t="shared" si="4"/>
        <v>7342.5</v>
      </c>
      <c r="T64" s="8">
        <v>6</v>
      </c>
      <c r="U64" s="19">
        <v>0</v>
      </c>
      <c r="V64" s="19">
        <v>0</v>
      </c>
      <c r="W64" s="19">
        <v>20</v>
      </c>
      <c r="X64" s="19">
        <v>0</v>
      </c>
      <c r="Y64" s="19">
        <v>2</v>
      </c>
      <c r="Z64" s="19">
        <v>0</v>
      </c>
      <c r="AA64" s="20">
        <f t="shared" si="5"/>
        <v>6</v>
      </c>
      <c r="AB64" s="21">
        <f t="shared" si="6"/>
        <v>28</v>
      </c>
      <c r="AC64" s="22">
        <f t="shared" si="7"/>
        <v>2937</v>
      </c>
      <c r="AD64" s="22">
        <f t="shared" si="8"/>
        <v>0</v>
      </c>
      <c r="AE64" s="18">
        <f t="shared" si="9"/>
        <v>0</v>
      </c>
      <c r="AF64" s="18">
        <v>0</v>
      </c>
      <c r="AG64" s="18">
        <v>0</v>
      </c>
      <c r="AH64" s="23">
        <f t="shared" si="10"/>
        <v>2937</v>
      </c>
      <c r="AI64" s="18">
        <v>0</v>
      </c>
      <c r="AJ64" s="18">
        <f>VLOOKUP(D64,[1]Sheet1!$D$6:$DR$155,119,0)</f>
        <v>0</v>
      </c>
      <c r="AK64" s="18">
        <f>VLOOKUP(D64,[1]Sheet1!$D$6:$DQ$155,118,0)</f>
        <v>0</v>
      </c>
      <c r="AL64" s="23">
        <f t="shared" si="11"/>
        <v>2937</v>
      </c>
      <c r="AM64" s="24">
        <f t="shared" si="12"/>
        <v>352.44</v>
      </c>
      <c r="AN64" s="24">
        <f t="shared" si="13"/>
        <v>22.0275</v>
      </c>
      <c r="AO64" s="24">
        <f t="shared" si="14"/>
        <v>0</v>
      </c>
      <c r="AP64" s="24">
        <f t="shared" si="0"/>
        <v>382</v>
      </c>
      <c r="AQ64" s="24">
        <f t="shared" si="1"/>
        <v>95</v>
      </c>
      <c r="AR64" s="24">
        <f t="shared" si="15"/>
        <v>2562.5325000000003</v>
      </c>
      <c r="AS64" s="25" t="s">
        <v>63</v>
      </c>
      <c r="AT64" s="26">
        <v>0</v>
      </c>
    </row>
    <row r="65" spans="1:46" ht="30" x14ac:dyDescent="0.25">
      <c r="A65" s="7">
        <v>61</v>
      </c>
      <c r="B65" s="8" t="str">
        <f t="shared" si="3"/>
        <v>CFCP0397</v>
      </c>
      <c r="C65" s="8" t="s">
        <v>64</v>
      </c>
      <c r="D65" s="8" t="s">
        <v>263</v>
      </c>
      <c r="E65" s="9" t="s">
        <v>264</v>
      </c>
      <c r="F65" s="8" t="s">
        <v>239</v>
      </c>
      <c r="G65" s="8" t="s">
        <v>240</v>
      </c>
      <c r="H65" s="10" t="s">
        <v>265</v>
      </c>
      <c r="I65" s="11" t="s">
        <v>58</v>
      </c>
      <c r="J65" s="12">
        <v>43645</v>
      </c>
      <c r="K65" s="13" t="s">
        <v>69</v>
      </c>
      <c r="L65" s="14" t="s">
        <v>266</v>
      </c>
      <c r="M65" s="14" t="s">
        <v>71</v>
      </c>
      <c r="N65" s="14">
        <v>101562192923</v>
      </c>
      <c r="O65" s="13">
        <v>3811717833</v>
      </c>
      <c r="P65" s="15">
        <v>0</v>
      </c>
      <c r="Q65" s="16" t="s">
        <v>62</v>
      </c>
      <c r="R65" s="17">
        <v>489.5</v>
      </c>
      <c r="S65" s="18">
        <f t="shared" si="4"/>
        <v>7342.5</v>
      </c>
      <c r="T65" s="8">
        <v>2</v>
      </c>
      <c r="U65" s="19">
        <v>0</v>
      </c>
      <c r="V65" s="19">
        <v>7</v>
      </c>
      <c r="W65" s="19">
        <v>0</v>
      </c>
      <c r="X65" s="19">
        <v>0</v>
      </c>
      <c r="Y65" s="19">
        <v>0</v>
      </c>
      <c r="Z65" s="19">
        <v>26</v>
      </c>
      <c r="AA65" s="20">
        <f t="shared" si="5"/>
        <v>2</v>
      </c>
      <c r="AB65" s="21">
        <f t="shared" si="6"/>
        <v>28</v>
      </c>
      <c r="AC65" s="22">
        <f t="shared" si="7"/>
        <v>979</v>
      </c>
      <c r="AD65" s="22">
        <f t="shared" si="8"/>
        <v>0</v>
      </c>
      <c r="AE65" s="18">
        <f t="shared" si="9"/>
        <v>856.625</v>
      </c>
      <c r="AF65" s="18">
        <v>0</v>
      </c>
      <c r="AG65" s="18">
        <f>VLOOKUP(D65,[2]Sheet1!$B$3:$D$50,3,0)</f>
        <v>29532</v>
      </c>
      <c r="AH65" s="23">
        <f t="shared" si="10"/>
        <v>31367.625</v>
      </c>
      <c r="AI65" s="18">
        <v>0</v>
      </c>
      <c r="AJ65" s="18">
        <f>VLOOKUP(D65,[1]Sheet1!$D$6:$DR$155,119,0)</f>
        <v>0</v>
      </c>
      <c r="AK65" s="18">
        <f>VLOOKUP(D65,[1]Sheet1!$D$6:$DQ$155,118,0)</f>
        <v>0</v>
      </c>
      <c r="AL65" s="23">
        <f t="shared" si="11"/>
        <v>31367.625</v>
      </c>
      <c r="AM65" s="24">
        <f t="shared" si="12"/>
        <v>1800</v>
      </c>
      <c r="AN65" s="24">
        <f t="shared" si="13"/>
        <v>235.25718749999999</v>
      </c>
      <c r="AO65" s="24">
        <f t="shared" si="14"/>
        <v>200</v>
      </c>
      <c r="AP65" s="24">
        <f t="shared" si="0"/>
        <v>1950</v>
      </c>
      <c r="AQ65" s="24">
        <f t="shared" si="1"/>
        <v>1019</v>
      </c>
      <c r="AR65" s="24">
        <f t="shared" si="15"/>
        <v>29132.367812500001</v>
      </c>
      <c r="AS65" s="25" t="s">
        <v>63</v>
      </c>
      <c r="AT65" s="26">
        <v>0</v>
      </c>
    </row>
    <row r="66" spans="1:46" ht="30" x14ac:dyDescent="0.25">
      <c r="A66" s="7">
        <v>62</v>
      </c>
      <c r="B66" s="8" t="str">
        <f t="shared" si="3"/>
        <v>CFCP0046</v>
      </c>
      <c r="C66" s="8" t="s">
        <v>64</v>
      </c>
      <c r="D66" s="8" t="s">
        <v>267</v>
      </c>
      <c r="E66" s="9" t="s">
        <v>268</v>
      </c>
      <c r="F66" s="8" t="s">
        <v>239</v>
      </c>
      <c r="G66" s="8" t="s">
        <v>240</v>
      </c>
      <c r="H66" s="10" t="s">
        <v>265</v>
      </c>
      <c r="I66" s="11" t="s">
        <v>58</v>
      </c>
      <c r="J66" s="12">
        <v>44435</v>
      </c>
      <c r="K66" s="13" t="s">
        <v>93</v>
      </c>
      <c r="L66" s="14" t="s">
        <v>269</v>
      </c>
      <c r="M66" s="14" t="s">
        <v>106</v>
      </c>
      <c r="N66" s="14">
        <v>101188756883</v>
      </c>
      <c r="O66" s="13">
        <v>3811653385</v>
      </c>
      <c r="P66" s="15">
        <v>0</v>
      </c>
      <c r="Q66" s="16" t="s">
        <v>62</v>
      </c>
      <c r="R66" s="17">
        <v>489.5</v>
      </c>
      <c r="S66" s="18">
        <f t="shared" si="4"/>
        <v>7342.5</v>
      </c>
      <c r="T66" s="8">
        <v>3</v>
      </c>
      <c r="U66" s="19">
        <v>0</v>
      </c>
      <c r="V66" s="19">
        <v>3</v>
      </c>
      <c r="W66" s="19">
        <v>1</v>
      </c>
      <c r="X66" s="19">
        <v>0</v>
      </c>
      <c r="Y66" s="19">
        <v>3</v>
      </c>
      <c r="Z66" s="19">
        <v>21</v>
      </c>
      <c r="AA66" s="20">
        <f t="shared" si="5"/>
        <v>3</v>
      </c>
      <c r="AB66" s="21">
        <f t="shared" si="6"/>
        <v>28</v>
      </c>
      <c r="AC66" s="22">
        <f t="shared" si="7"/>
        <v>1468.5</v>
      </c>
      <c r="AD66" s="22">
        <f t="shared" si="8"/>
        <v>0</v>
      </c>
      <c r="AE66" s="18">
        <f t="shared" si="9"/>
        <v>367.125</v>
      </c>
      <c r="AF66" s="18">
        <v>0</v>
      </c>
      <c r="AG66" s="18">
        <f>VLOOKUP(D66,[2]Sheet1!$B$3:$D$50,3,0)</f>
        <v>17480.5</v>
      </c>
      <c r="AH66" s="23">
        <f t="shared" si="10"/>
        <v>19316.125</v>
      </c>
      <c r="AI66" s="18">
        <v>0</v>
      </c>
      <c r="AJ66" s="18">
        <f>VLOOKUP(D66,[1]Sheet1!$D$6:$DR$155,119,0)</f>
        <v>0</v>
      </c>
      <c r="AK66" s="18">
        <f>VLOOKUP(D66,[1]Sheet1!$D$6:$DQ$155,118,0)</f>
        <v>0</v>
      </c>
      <c r="AL66" s="23">
        <f t="shared" si="11"/>
        <v>19316.125</v>
      </c>
      <c r="AM66" s="24">
        <f t="shared" si="12"/>
        <v>1800</v>
      </c>
      <c r="AN66" s="24">
        <f t="shared" si="13"/>
        <v>144.8709375</v>
      </c>
      <c r="AO66" s="24">
        <f t="shared" si="14"/>
        <v>200</v>
      </c>
      <c r="AP66" s="24">
        <f t="shared" si="0"/>
        <v>1950</v>
      </c>
      <c r="AQ66" s="24">
        <f t="shared" si="1"/>
        <v>628</v>
      </c>
      <c r="AR66" s="24">
        <f t="shared" si="15"/>
        <v>17171.2540625</v>
      </c>
      <c r="AS66" s="25" t="s">
        <v>63</v>
      </c>
      <c r="AT66" s="26">
        <v>0</v>
      </c>
    </row>
    <row r="67" spans="1:46" ht="30" x14ac:dyDescent="0.25">
      <c r="A67" s="7">
        <v>63</v>
      </c>
      <c r="B67" s="8" t="str">
        <f t="shared" si="3"/>
        <v>CFCP0809</v>
      </c>
      <c r="C67" s="8" t="s">
        <v>64</v>
      </c>
      <c r="D67" s="8" t="s">
        <v>270</v>
      </c>
      <c r="E67" s="9" t="s">
        <v>271</v>
      </c>
      <c r="F67" s="8" t="s">
        <v>239</v>
      </c>
      <c r="G67" s="8" t="s">
        <v>240</v>
      </c>
      <c r="H67" s="10" t="s">
        <v>214</v>
      </c>
      <c r="I67" s="11" t="s">
        <v>58</v>
      </c>
      <c r="J67" s="12">
        <v>45421</v>
      </c>
      <c r="K67" s="13" t="s">
        <v>69</v>
      </c>
      <c r="L67" s="14" t="s">
        <v>272</v>
      </c>
      <c r="M67" s="14" t="s">
        <v>71</v>
      </c>
      <c r="N67" s="14">
        <v>102076169274</v>
      </c>
      <c r="O67" s="13">
        <v>3813131498</v>
      </c>
      <c r="P67" s="15">
        <v>0</v>
      </c>
      <c r="Q67" s="16" t="s">
        <v>62</v>
      </c>
      <c r="R67" s="17">
        <v>489.5</v>
      </c>
      <c r="S67" s="18">
        <f t="shared" si="4"/>
        <v>7342.5</v>
      </c>
      <c r="T67" s="8">
        <v>3</v>
      </c>
      <c r="U67" s="19">
        <v>0</v>
      </c>
      <c r="V67" s="19">
        <v>4</v>
      </c>
      <c r="W67" s="19">
        <v>9</v>
      </c>
      <c r="X67" s="19">
        <v>0</v>
      </c>
      <c r="Y67" s="19">
        <v>1</v>
      </c>
      <c r="Z67" s="19">
        <v>15</v>
      </c>
      <c r="AA67" s="20">
        <f t="shared" si="5"/>
        <v>3</v>
      </c>
      <c r="AB67" s="21">
        <f t="shared" si="6"/>
        <v>28</v>
      </c>
      <c r="AC67" s="22">
        <f t="shared" si="7"/>
        <v>1468.5</v>
      </c>
      <c r="AD67" s="22">
        <f t="shared" si="8"/>
        <v>0</v>
      </c>
      <c r="AE67" s="18">
        <f t="shared" si="9"/>
        <v>489.5</v>
      </c>
      <c r="AF67" s="18">
        <v>0</v>
      </c>
      <c r="AG67" s="18">
        <f>VLOOKUP(D67,[2]Sheet1!$B$3:$D$50,3,0)</f>
        <v>16473.25</v>
      </c>
      <c r="AH67" s="23">
        <f t="shared" si="10"/>
        <v>18431.25</v>
      </c>
      <c r="AI67" s="18">
        <v>0</v>
      </c>
      <c r="AJ67" s="18">
        <f>VLOOKUP(D67,[1]Sheet1!$D$6:$DR$155,119,0)</f>
        <v>200</v>
      </c>
      <c r="AK67" s="18">
        <f>VLOOKUP(D67,[1]Sheet1!$D$6:$DQ$155,118,0)</f>
        <v>0</v>
      </c>
      <c r="AL67" s="23">
        <f t="shared" si="11"/>
        <v>18231.25</v>
      </c>
      <c r="AM67" s="24">
        <f t="shared" si="12"/>
        <v>1800</v>
      </c>
      <c r="AN67" s="24">
        <f t="shared" si="13"/>
        <v>138.234375</v>
      </c>
      <c r="AO67" s="24">
        <f t="shared" si="14"/>
        <v>200</v>
      </c>
      <c r="AP67" s="24">
        <f t="shared" si="0"/>
        <v>1950</v>
      </c>
      <c r="AQ67" s="24">
        <f t="shared" si="1"/>
        <v>599</v>
      </c>
      <c r="AR67" s="24">
        <f t="shared" si="15"/>
        <v>16093.015625</v>
      </c>
      <c r="AS67" s="25" t="s">
        <v>63</v>
      </c>
      <c r="AT67" s="26">
        <v>0</v>
      </c>
    </row>
    <row r="68" spans="1:46" ht="30" x14ac:dyDescent="0.25">
      <c r="A68" s="7">
        <v>64</v>
      </c>
      <c r="B68" s="8" t="str">
        <f t="shared" si="3"/>
        <v>CFCP0843</v>
      </c>
      <c r="C68" s="8" t="s">
        <v>64</v>
      </c>
      <c r="D68" s="8" t="s">
        <v>273</v>
      </c>
      <c r="E68" s="9" t="s">
        <v>274</v>
      </c>
      <c r="F68" s="8" t="s">
        <v>239</v>
      </c>
      <c r="G68" s="8" t="s">
        <v>240</v>
      </c>
      <c r="H68" s="10" t="s">
        <v>275</v>
      </c>
      <c r="I68" s="11" t="s">
        <v>58</v>
      </c>
      <c r="J68" s="12">
        <v>45621</v>
      </c>
      <c r="K68" s="13" t="s">
        <v>69</v>
      </c>
      <c r="L68" s="14" t="s">
        <v>276</v>
      </c>
      <c r="M68" s="14" t="s">
        <v>71</v>
      </c>
      <c r="N68" s="14">
        <v>101571428295</v>
      </c>
      <c r="O68" s="13">
        <v>3813310408</v>
      </c>
      <c r="P68" s="15">
        <v>0</v>
      </c>
      <c r="Q68" s="16" t="s">
        <v>62</v>
      </c>
      <c r="R68" s="17">
        <v>489.5</v>
      </c>
      <c r="S68" s="18">
        <f t="shared" si="4"/>
        <v>7342.5</v>
      </c>
      <c r="T68" s="8">
        <v>0</v>
      </c>
      <c r="U68" s="19">
        <v>0</v>
      </c>
      <c r="V68" s="19">
        <v>0</v>
      </c>
      <c r="W68" s="19">
        <v>1</v>
      </c>
      <c r="X68" s="19">
        <v>0</v>
      </c>
      <c r="Y68" s="19">
        <v>0</v>
      </c>
      <c r="Z68" s="19">
        <v>27</v>
      </c>
      <c r="AA68" s="20">
        <f t="shared" si="5"/>
        <v>0</v>
      </c>
      <c r="AB68" s="21">
        <f t="shared" si="6"/>
        <v>28</v>
      </c>
      <c r="AC68" s="22">
        <f t="shared" si="7"/>
        <v>0</v>
      </c>
      <c r="AD68" s="22">
        <f t="shared" si="8"/>
        <v>0</v>
      </c>
      <c r="AE68" s="18">
        <f t="shared" si="9"/>
        <v>0</v>
      </c>
      <c r="AF68" s="18">
        <v>0</v>
      </c>
      <c r="AG68" s="18">
        <f>VLOOKUP(D68,[2]Sheet1!$B$3:$D$50,3,0)</f>
        <v>25373.25</v>
      </c>
      <c r="AH68" s="23">
        <f t="shared" si="10"/>
        <v>25373.25</v>
      </c>
      <c r="AI68" s="18">
        <v>0</v>
      </c>
      <c r="AJ68" s="18">
        <f>VLOOKUP(D68,[1]Sheet1!$D$6:$DR$155,119,0)</f>
        <v>0</v>
      </c>
      <c r="AK68" s="18">
        <f>VLOOKUP(D68,[1]Sheet1!$D$6:$DQ$155,118,0)</f>
        <v>0</v>
      </c>
      <c r="AL68" s="23">
        <f t="shared" si="11"/>
        <v>25373.25</v>
      </c>
      <c r="AM68" s="24">
        <f t="shared" si="12"/>
        <v>1800</v>
      </c>
      <c r="AN68" s="24">
        <f t="shared" si="13"/>
        <v>190.299375</v>
      </c>
      <c r="AO68" s="24">
        <f t="shared" si="14"/>
        <v>200</v>
      </c>
      <c r="AP68" s="24">
        <f t="shared" si="0"/>
        <v>1950</v>
      </c>
      <c r="AQ68" s="24">
        <f t="shared" si="1"/>
        <v>825</v>
      </c>
      <c r="AR68" s="24">
        <f t="shared" si="15"/>
        <v>23182.950625000001</v>
      </c>
      <c r="AS68" s="25" t="s">
        <v>63</v>
      </c>
      <c r="AT68" s="26">
        <v>0</v>
      </c>
    </row>
    <row r="69" spans="1:46" ht="30" x14ac:dyDescent="0.25">
      <c r="A69" s="7">
        <v>65</v>
      </c>
      <c r="B69" s="8" t="str">
        <f t="shared" si="3"/>
        <v>CFCP0853</v>
      </c>
      <c r="C69" s="8" t="s">
        <v>64</v>
      </c>
      <c r="D69" s="8" t="s">
        <v>277</v>
      </c>
      <c r="E69" s="9" t="s">
        <v>278</v>
      </c>
      <c r="F69" s="8" t="s">
        <v>239</v>
      </c>
      <c r="G69" s="8" t="s">
        <v>240</v>
      </c>
      <c r="H69" s="10" t="s">
        <v>265</v>
      </c>
      <c r="I69" s="11" t="s">
        <v>58</v>
      </c>
      <c r="J69" s="12">
        <v>45643</v>
      </c>
      <c r="K69" s="13" t="s">
        <v>69</v>
      </c>
      <c r="L69" s="14" t="s">
        <v>279</v>
      </c>
      <c r="M69" s="14" t="s">
        <v>71</v>
      </c>
      <c r="N69" s="14">
        <v>102154040535</v>
      </c>
      <c r="O69" s="13">
        <v>3813341877</v>
      </c>
      <c r="P69" s="15">
        <v>0</v>
      </c>
      <c r="Q69" s="16" t="s">
        <v>62</v>
      </c>
      <c r="R69" s="17">
        <v>489.5</v>
      </c>
      <c r="S69" s="18">
        <f t="shared" si="4"/>
        <v>7342.5</v>
      </c>
      <c r="T69" s="8">
        <v>6.5</v>
      </c>
      <c r="U69" s="19">
        <v>0</v>
      </c>
      <c r="V69" s="19">
        <v>21</v>
      </c>
      <c r="W69" s="19">
        <v>1.5</v>
      </c>
      <c r="X69" s="19">
        <v>0</v>
      </c>
      <c r="Y69" s="19">
        <v>3</v>
      </c>
      <c r="Z69" s="19">
        <v>17</v>
      </c>
      <c r="AA69" s="20">
        <f t="shared" si="5"/>
        <v>6.5</v>
      </c>
      <c r="AB69" s="21">
        <f t="shared" si="6"/>
        <v>28</v>
      </c>
      <c r="AC69" s="22">
        <f t="shared" si="7"/>
        <v>3181.75</v>
      </c>
      <c r="AD69" s="22">
        <f t="shared" si="8"/>
        <v>0</v>
      </c>
      <c r="AE69" s="18">
        <f t="shared" si="9"/>
        <v>2569.875</v>
      </c>
      <c r="AF69" s="18">
        <v>0</v>
      </c>
      <c r="AG69" s="18">
        <f>VLOOKUP(D69,[2]Sheet1!$B$3:$D$50,3,0)</f>
        <v>18213</v>
      </c>
      <c r="AH69" s="23">
        <f t="shared" si="10"/>
        <v>23964.625</v>
      </c>
      <c r="AI69" s="18">
        <v>0</v>
      </c>
      <c r="AJ69" s="18">
        <f>VLOOKUP(D69,[1]Sheet1!$D$6:$DR$155,119,0)</f>
        <v>0</v>
      </c>
      <c r="AK69" s="18">
        <f>VLOOKUP(D69,[1]Sheet1!$D$6:$DQ$155,118,0)</f>
        <v>0</v>
      </c>
      <c r="AL69" s="23">
        <f t="shared" si="11"/>
        <v>23964.625</v>
      </c>
      <c r="AM69" s="24">
        <f t="shared" si="12"/>
        <v>1800</v>
      </c>
      <c r="AN69" s="24">
        <f t="shared" si="13"/>
        <v>179.73468750000001</v>
      </c>
      <c r="AO69" s="24">
        <f t="shared" si="14"/>
        <v>200</v>
      </c>
      <c r="AP69" s="24">
        <f t="shared" ref="AP69:AP132" si="16">ROUND(AM69*13/12,0)</f>
        <v>1950</v>
      </c>
      <c r="AQ69" s="24">
        <f t="shared" ref="AQ69:AQ132" si="17">ROUND(AN69*3.25/0.75,0)</f>
        <v>779</v>
      </c>
      <c r="AR69" s="24">
        <f t="shared" si="15"/>
        <v>21784.8903125</v>
      </c>
      <c r="AS69" s="25" t="s">
        <v>63</v>
      </c>
      <c r="AT69" s="26">
        <v>0</v>
      </c>
    </row>
    <row r="70" spans="1:46" ht="30" x14ac:dyDescent="0.25">
      <c r="A70" s="7">
        <v>66</v>
      </c>
      <c r="B70" s="8" t="str">
        <f t="shared" ref="B70:B133" si="18">+D70</f>
        <v>CFCP0864</v>
      </c>
      <c r="C70" s="8" t="s">
        <v>64</v>
      </c>
      <c r="D70" s="8" t="s">
        <v>280</v>
      </c>
      <c r="E70" s="9" t="s">
        <v>281</v>
      </c>
      <c r="F70" s="8" t="s">
        <v>239</v>
      </c>
      <c r="G70" s="8" t="s">
        <v>240</v>
      </c>
      <c r="H70" s="10" t="s">
        <v>265</v>
      </c>
      <c r="I70" s="11" t="s">
        <v>58</v>
      </c>
      <c r="J70" s="12">
        <v>45666</v>
      </c>
      <c r="K70" s="13" t="s">
        <v>69</v>
      </c>
      <c r="L70" s="14" t="s">
        <v>282</v>
      </c>
      <c r="M70" s="14" t="s">
        <v>71</v>
      </c>
      <c r="N70" s="14">
        <v>101925688220</v>
      </c>
      <c r="O70" s="13">
        <v>3813367163</v>
      </c>
      <c r="P70" s="15">
        <v>0</v>
      </c>
      <c r="Q70" s="16" t="s">
        <v>62</v>
      </c>
      <c r="R70" s="17">
        <v>489.5</v>
      </c>
      <c r="S70" s="18">
        <f t="shared" ref="S70:S133" si="19">R70*$R$1</f>
        <v>7342.5</v>
      </c>
      <c r="T70" s="8">
        <v>22</v>
      </c>
      <c r="U70" s="19">
        <v>0</v>
      </c>
      <c r="V70" s="19">
        <v>55.5</v>
      </c>
      <c r="W70" s="19">
        <v>2</v>
      </c>
      <c r="X70" s="19">
        <v>0</v>
      </c>
      <c r="Y70" s="19">
        <v>4</v>
      </c>
      <c r="Z70" s="19">
        <v>0</v>
      </c>
      <c r="AA70" s="20">
        <f t="shared" ref="AA70:AA133" si="20">T70+X70</f>
        <v>22</v>
      </c>
      <c r="AB70" s="21">
        <f t="shared" ref="AB70:AB133" si="21">T70+W70+X70+Y70+Z70</f>
        <v>28</v>
      </c>
      <c r="AC70" s="22">
        <f t="shared" ref="AC70:AC133" si="22">R70*AA70</f>
        <v>10769</v>
      </c>
      <c r="AD70" s="22">
        <f t="shared" ref="AD70:AD133" si="23">R70/8*U70</f>
        <v>0</v>
      </c>
      <c r="AE70" s="18">
        <f t="shared" ref="AE70:AE133" si="24">R70/4*V70</f>
        <v>6791.8125</v>
      </c>
      <c r="AF70" s="18">
        <v>0</v>
      </c>
      <c r="AG70" s="18">
        <v>0</v>
      </c>
      <c r="AH70" s="23">
        <f t="shared" ref="AH70:AH98" si="25">SUM(AC70:AG70)</f>
        <v>17560.8125</v>
      </c>
      <c r="AI70" s="18">
        <v>0</v>
      </c>
      <c r="AJ70" s="18">
        <f>VLOOKUP(D70,[1]Sheet1!$D$6:$DR$155,119,0)</f>
        <v>0</v>
      </c>
      <c r="AK70" s="18">
        <f>VLOOKUP(D70,[1]Sheet1!$D$6:$DQ$155,118,0)</f>
        <v>0</v>
      </c>
      <c r="AL70" s="23">
        <f t="shared" ref="AL70:AL133" si="26">AH70-AI70-AJ70-AK70</f>
        <v>17560.8125</v>
      </c>
      <c r="AM70" s="24">
        <f t="shared" ref="AM70:AM133" si="27">IF(AH70&gt;15000,1800,AH70*12%)</f>
        <v>1800</v>
      </c>
      <c r="AN70" s="24">
        <f t="shared" ref="AN70:AN133" si="28">AH70*0.75%</f>
        <v>131.70609375000001</v>
      </c>
      <c r="AO70" s="24">
        <f t="shared" ref="AO70:AO133" si="29">IF(AH70&gt;12000,200,0)</f>
        <v>200</v>
      </c>
      <c r="AP70" s="24">
        <f t="shared" si="16"/>
        <v>1950</v>
      </c>
      <c r="AQ70" s="24">
        <f t="shared" si="17"/>
        <v>571</v>
      </c>
      <c r="AR70" s="24">
        <f t="shared" si="15"/>
        <v>15429.106406250001</v>
      </c>
      <c r="AS70" s="25" t="s">
        <v>63</v>
      </c>
      <c r="AT70" s="26">
        <v>0</v>
      </c>
    </row>
    <row r="71" spans="1:46" ht="30" x14ac:dyDescent="0.25">
      <c r="A71" s="7">
        <v>67</v>
      </c>
      <c r="B71" s="8" t="str">
        <f t="shared" si="18"/>
        <v>CFCP0084</v>
      </c>
      <c r="C71" s="8" t="s">
        <v>64</v>
      </c>
      <c r="D71" s="8" t="s">
        <v>283</v>
      </c>
      <c r="E71" s="9" t="s">
        <v>284</v>
      </c>
      <c r="F71" s="8" t="s">
        <v>239</v>
      </c>
      <c r="G71" s="8" t="s">
        <v>245</v>
      </c>
      <c r="H71" s="10" t="s">
        <v>285</v>
      </c>
      <c r="I71" s="11" t="s">
        <v>58</v>
      </c>
      <c r="J71" s="12">
        <v>42005</v>
      </c>
      <c r="K71" s="13" t="s">
        <v>69</v>
      </c>
      <c r="L71" s="14" t="s">
        <v>286</v>
      </c>
      <c r="M71" s="14" t="s">
        <v>71</v>
      </c>
      <c r="N71" s="14">
        <v>101319150978</v>
      </c>
      <c r="O71" s="13">
        <v>3811378567</v>
      </c>
      <c r="P71" s="15">
        <v>0</v>
      </c>
      <c r="Q71" s="16" t="s">
        <v>62</v>
      </c>
      <c r="R71" s="17">
        <v>489.5</v>
      </c>
      <c r="S71" s="18">
        <f t="shared" si="19"/>
        <v>7342.5</v>
      </c>
      <c r="T71" s="8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28</v>
      </c>
      <c r="AA71" s="20">
        <f t="shared" si="20"/>
        <v>0</v>
      </c>
      <c r="AB71" s="21">
        <f t="shared" si="21"/>
        <v>28</v>
      </c>
      <c r="AC71" s="22">
        <f t="shared" si="22"/>
        <v>0</v>
      </c>
      <c r="AD71" s="22">
        <f t="shared" si="23"/>
        <v>0</v>
      </c>
      <c r="AE71" s="18">
        <f t="shared" si="24"/>
        <v>0</v>
      </c>
      <c r="AF71" s="18">
        <v>0</v>
      </c>
      <c r="AG71" s="18">
        <f>VLOOKUP(D71,[2]Sheet1!$B$51:$D$61,3,0)</f>
        <v>37472</v>
      </c>
      <c r="AH71" s="23">
        <f t="shared" si="25"/>
        <v>37472</v>
      </c>
      <c r="AI71" s="18">
        <v>0</v>
      </c>
      <c r="AJ71" s="18">
        <f>VLOOKUP(D71,[1]Sheet1!$D$6:$DR$155,119,0)</f>
        <v>0</v>
      </c>
      <c r="AK71" s="18">
        <f>VLOOKUP(D71,[1]Sheet1!$D$6:$DQ$155,118,0)</f>
        <v>0</v>
      </c>
      <c r="AL71" s="23">
        <f t="shared" si="26"/>
        <v>37472</v>
      </c>
      <c r="AM71" s="24">
        <f t="shared" si="27"/>
        <v>1800</v>
      </c>
      <c r="AN71" s="24">
        <f t="shared" si="28"/>
        <v>281.03999999999996</v>
      </c>
      <c r="AO71" s="24">
        <f t="shared" si="29"/>
        <v>200</v>
      </c>
      <c r="AP71" s="24">
        <f t="shared" si="16"/>
        <v>1950</v>
      </c>
      <c r="AQ71" s="24">
        <f t="shared" si="17"/>
        <v>1218</v>
      </c>
      <c r="AR71" s="24">
        <f t="shared" si="15"/>
        <v>35190.959999999999</v>
      </c>
      <c r="AS71" s="25" t="s">
        <v>63</v>
      </c>
      <c r="AT71" s="26">
        <v>0</v>
      </c>
    </row>
    <row r="72" spans="1:46" ht="30" x14ac:dyDescent="0.25">
      <c r="A72" s="7">
        <v>68</v>
      </c>
      <c r="B72" s="8" t="str">
        <f t="shared" si="18"/>
        <v>CFCP0222</v>
      </c>
      <c r="C72" s="8" t="s">
        <v>64</v>
      </c>
      <c r="D72" s="8" t="s">
        <v>287</v>
      </c>
      <c r="E72" s="9" t="s">
        <v>288</v>
      </c>
      <c r="F72" s="8" t="s">
        <v>239</v>
      </c>
      <c r="G72" s="8" t="s">
        <v>245</v>
      </c>
      <c r="H72" s="10" t="s">
        <v>289</v>
      </c>
      <c r="I72" s="11" t="s">
        <v>58</v>
      </c>
      <c r="J72" s="12">
        <v>45092</v>
      </c>
      <c r="K72" s="13" t="s">
        <v>69</v>
      </c>
      <c r="L72" s="14" t="s">
        <v>290</v>
      </c>
      <c r="M72" s="14" t="s">
        <v>71</v>
      </c>
      <c r="N72" s="14">
        <v>101200707766</v>
      </c>
      <c r="O72" s="13">
        <v>3811378591</v>
      </c>
      <c r="P72" s="15">
        <v>0</v>
      </c>
      <c r="Q72" s="16" t="s">
        <v>62</v>
      </c>
      <c r="R72" s="17">
        <v>489.5</v>
      </c>
      <c r="S72" s="18">
        <f t="shared" si="19"/>
        <v>7342.5</v>
      </c>
      <c r="T72" s="8">
        <v>0</v>
      </c>
      <c r="U72" s="19">
        <v>0</v>
      </c>
      <c r="V72" s="19">
        <v>0</v>
      </c>
      <c r="W72" s="19">
        <v>19</v>
      </c>
      <c r="X72" s="19">
        <v>0</v>
      </c>
      <c r="Y72" s="19">
        <v>0</v>
      </c>
      <c r="Z72" s="19">
        <v>9</v>
      </c>
      <c r="AA72" s="20">
        <f t="shared" si="20"/>
        <v>0</v>
      </c>
      <c r="AB72" s="21">
        <f t="shared" si="21"/>
        <v>28</v>
      </c>
      <c r="AC72" s="22">
        <f t="shared" si="22"/>
        <v>0</v>
      </c>
      <c r="AD72" s="22">
        <f t="shared" si="23"/>
        <v>0</v>
      </c>
      <c r="AE72" s="18">
        <f t="shared" si="24"/>
        <v>0</v>
      </c>
      <c r="AF72" s="18">
        <v>0</v>
      </c>
      <c r="AG72" s="18">
        <f>VLOOKUP(D72,[2]Sheet1!$B$51:$D$61,3,0)</f>
        <v>20230</v>
      </c>
      <c r="AH72" s="23">
        <f t="shared" si="25"/>
        <v>20230</v>
      </c>
      <c r="AI72" s="18">
        <v>0</v>
      </c>
      <c r="AJ72" s="18">
        <f>VLOOKUP(D72,[1]Sheet1!$D$6:$DR$155,119,0)</f>
        <v>0</v>
      </c>
      <c r="AK72" s="18">
        <f>VLOOKUP(D72,[1]Sheet1!$D$6:$DQ$155,118,0)</f>
        <v>0</v>
      </c>
      <c r="AL72" s="23">
        <f t="shared" si="26"/>
        <v>20230</v>
      </c>
      <c r="AM72" s="24">
        <f t="shared" si="27"/>
        <v>1800</v>
      </c>
      <c r="AN72" s="24">
        <f t="shared" si="28"/>
        <v>151.72499999999999</v>
      </c>
      <c r="AO72" s="24">
        <f t="shared" si="29"/>
        <v>200</v>
      </c>
      <c r="AP72" s="24">
        <f t="shared" si="16"/>
        <v>1950</v>
      </c>
      <c r="AQ72" s="24">
        <f t="shared" si="17"/>
        <v>657</v>
      </c>
      <c r="AR72" s="24">
        <f t="shared" si="15"/>
        <v>18078.275000000001</v>
      </c>
      <c r="AS72" s="25" t="s">
        <v>63</v>
      </c>
      <c r="AT72" s="26">
        <v>0</v>
      </c>
    </row>
    <row r="73" spans="1:46" ht="30" x14ac:dyDescent="0.25">
      <c r="A73" s="7">
        <v>69</v>
      </c>
      <c r="B73" s="8" t="str">
        <f t="shared" si="18"/>
        <v>CFCP0870</v>
      </c>
      <c r="C73" s="8" t="s">
        <v>64</v>
      </c>
      <c r="D73" s="8" t="s">
        <v>291</v>
      </c>
      <c r="E73" s="9" t="s">
        <v>292</v>
      </c>
      <c r="F73" s="8" t="s">
        <v>239</v>
      </c>
      <c r="G73" s="8" t="s">
        <v>240</v>
      </c>
      <c r="H73" s="10" t="s">
        <v>265</v>
      </c>
      <c r="I73" s="11" t="s">
        <v>58</v>
      </c>
      <c r="J73" s="12">
        <v>45682</v>
      </c>
      <c r="K73" s="13" t="s">
        <v>177</v>
      </c>
      <c r="L73" s="14" t="s">
        <v>293</v>
      </c>
      <c r="M73" s="14" t="s">
        <v>294</v>
      </c>
      <c r="N73" s="14">
        <v>101888957735</v>
      </c>
      <c r="O73" s="13">
        <v>3813367503</v>
      </c>
      <c r="P73" s="15">
        <v>0</v>
      </c>
      <c r="Q73" s="16" t="s">
        <v>62</v>
      </c>
      <c r="R73" s="17">
        <v>489.5</v>
      </c>
      <c r="S73" s="18">
        <f t="shared" si="19"/>
        <v>7342.5</v>
      </c>
      <c r="T73" s="8">
        <v>1</v>
      </c>
      <c r="U73" s="19">
        <v>0</v>
      </c>
      <c r="V73" s="19">
        <v>2</v>
      </c>
      <c r="W73" s="19">
        <v>0</v>
      </c>
      <c r="X73" s="19">
        <v>0</v>
      </c>
      <c r="Y73" s="19">
        <v>0</v>
      </c>
      <c r="Z73" s="19">
        <v>27</v>
      </c>
      <c r="AA73" s="20">
        <f t="shared" si="20"/>
        <v>1</v>
      </c>
      <c r="AB73" s="21">
        <f t="shared" si="21"/>
        <v>28</v>
      </c>
      <c r="AC73" s="22">
        <f t="shared" si="22"/>
        <v>489.5</v>
      </c>
      <c r="AD73" s="22">
        <f t="shared" si="23"/>
        <v>0</v>
      </c>
      <c r="AE73" s="18">
        <f t="shared" si="24"/>
        <v>244.75</v>
      </c>
      <c r="AF73" s="18">
        <v>0</v>
      </c>
      <c r="AG73" s="18">
        <f>VLOOKUP(D73,[2]Sheet1!$B$3:$D$50,3,0)</f>
        <v>31386.5</v>
      </c>
      <c r="AH73" s="23">
        <f t="shared" si="25"/>
        <v>32120.75</v>
      </c>
      <c r="AI73" s="18">
        <v>0</v>
      </c>
      <c r="AJ73" s="18">
        <f>VLOOKUP(D73,[1]Sheet1!$D$6:$DR$155,119,0)</f>
        <v>200</v>
      </c>
      <c r="AK73" s="18">
        <f>VLOOKUP(D73,[1]Sheet1!$D$6:$DQ$155,118,0)</f>
        <v>0</v>
      </c>
      <c r="AL73" s="23">
        <f t="shared" si="26"/>
        <v>31920.75</v>
      </c>
      <c r="AM73" s="24">
        <f t="shared" si="27"/>
        <v>1800</v>
      </c>
      <c r="AN73" s="24">
        <f t="shared" si="28"/>
        <v>240.90562499999999</v>
      </c>
      <c r="AO73" s="24">
        <f t="shared" si="29"/>
        <v>200</v>
      </c>
      <c r="AP73" s="24">
        <f t="shared" si="16"/>
        <v>1950</v>
      </c>
      <c r="AQ73" s="24">
        <f t="shared" si="17"/>
        <v>1044</v>
      </c>
      <c r="AR73" s="24">
        <f t="shared" si="15"/>
        <v>29679.844375000001</v>
      </c>
      <c r="AS73" s="25" t="s">
        <v>63</v>
      </c>
      <c r="AT73" s="26">
        <v>0</v>
      </c>
    </row>
    <row r="74" spans="1:46" ht="30" x14ac:dyDescent="0.25">
      <c r="A74" s="7">
        <v>70</v>
      </c>
      <c r="B74" s="8" t="str">
        <f t="shared" si="18"/>
        <v>CFCP0829</v>
      </c>
      <c r="C74" s="8" t="s">
        <v>64</v>
      </c>
      <c r="D74" s="8" t="s">
        <v>295</v>
      </c>
      <c r="E74" s="9" t="s">
        <v>296</v>
      </c>
      <c r="F74" s="8" t="s">
        <v>239</v>
      </c>
      <c r="G74" s="8" t="s">
        <v>240</v>
      </c>
      <c r="H74" s="10" t="s">
        <v>265</v>
      </c>
      <c r="I74" s="11" t="s">
        <v>58</v>
      </c>
      <c r="J74" s="12">
        <v>45516</v>
      </c>
      <c r="K74" s="13" t="s">
        <v>69</v>
      </c>
      <c r="L74" s="14" t="s">
        <v>297</v>
      </c>
      <c r="M74" s="14" t="s">
        <v>71</v>
      </c>
      <c r="N74" s="14">
        <v>101200662627</v>
      </c>
      <c r="O74" s="13">
        <v>3811854357</v>
      </c>
      <c r="P74" s="15">
        <v>0</v>
      </c>
      <c r="Q74" s="16" t="s">
        <v>62</v>
      </c>
      <c r="R74" s="17">
        <v>560</v>
      </c>
      <c r="S74" s="18">
        <f t="shared" si="19"/>
        <v>8400</v>
      </c>
      <c r="T74" s="8">
        <v>24</v>
      </c>
      <c r="U74" s="19">
        <v>0</v>
      </c>
      <c r="V74" s="19">
        <v>89</v>
      </c>
      <c r="W74" s="19">
        <v>0</v>
      </c>
      <c r="X74" s="19">
        <v>0</v>
      </c>
      <c r="Y74" s="19">
        <v>4</v>
      </c>
      <c r="Z74" s="19">
        <v>0</v>
      </c>
      <c r="AA74" s="20">
        <f t="shared" si="20"/>
        <v>24</v>
      </c>
      <c r="AB74" s="21">
        <f t="shared" si="21"/>
        <v>28</v>
      </c>
      <c r="AC74" s="22">
        <f t="shared" si="22"/>
        <v>13440</v>
      </c>
      <c r="AD74" s="22">
        <f t="shared" si="23"/>
        <v>0</v>
      </c>
      <c r="AE74" s="18">
        <f t="shared" si="24"/>
        <v>12460</v>
      </c>
      <c r="AF74" s="18">
        <v>1750</v>
      </c>
      <c r="AG74" s="18">
        <v>0</v>
      </c>
      <c r="AH74" s="23">
        <f t="shared" si="25"/>
        <v>27650</v>
      </c>
      <c r="AI74" s="18">
        <v>0</v>
      </c>
      <c r="AJ74" s="18">
        <f>VLOOKUP(D74,[1]Sheet1!$D$6:$DR$155,119,0)</f>
        <v>0</v>
      </c>
      <c r="AK74" s="18">
        <f>VLOOKUP(D74,[1]Sheet1!$D$6:$DQ$155,118,0)</f>
        <v>0</v>
      </c>
      <c r="AL74" s="23">
        <f t="shared" si="26"/>
        <v>27650</v>
      </c>
      <c r="AM74" s="24">
        <f t="shared" si="27"/>
        <v>1800</v>
      </c>
      <c r="AN74" s="24">
        <f t="shared" si="28"/>
        <v>207.375</v>
      </c>
      <c r="AO74" s="24">
        <f t="shared" si="29"/>
        <v>200</v>
      </c>
      <c r="AP74" s="24">
        <f t="shared" si="16"/>
        <v>1950</v>
      </c>
      <c r="AQ74" s="24">
        <f t="shared" si="17"/>
        <v>899</v>
      </c>
      <c r="AR74" s="24">
        <f t="shared" si="15"/>
        <v>25442.625</v>
      </c>
      <c r="AS74" s="25" t="s">
        <v>63</v>
      </c>
      <c r="AT74" s="26">
        <v>0</v>
      </c>
    </row>
    <row r="75" spans="1:46" ht="30" x14ac:dyDescent="0.25">
      <c r="A75" s="7">
        <v>71</v>
      </c>
      <c r="B75" s="8" t="str">
        <f t="shared" si="18"/>
        <v>CFCP0037</v>
      </c>
      <c r="C75" s="8" t="s">
        <v>64</v>
      </c>
      <c r="D75" s="8" t="s">
        <v>298</v>
      </c>
      <c r="E75" s="9" t="s">
        <v>299</v>
      </c>
      <c r="F75" s="8" t="s">
        <v>239</v>
      </c>
      <c r="G75" s="8" t="s">
        <v>245</v>
      </c>
      <c r="H75" s="10" t="s">
        <v>300</v>
      </c>
      <c r="I75" s="11" t="s">
        <v>58</v>
      </c>
      <c r="J75" s="12">
        <v>44434</v>
      </c>
      <c r="K75" s="13" t="s">
        <v>93</v>
      </c>
      <c r="L75" s="14">
        <v>673302010003156</v>
      </c>
      <c r="M75" s="14" t="s">
        <v>106</v>
      </c>
      <c r="N75" s="14">
        <v>101154456733</v>
      </c>
      <c r="O75" s="13">
        <v>3811378559</v>
      </c>
      <c r="P75" s="15">
        <v>0</v>
      </c>
      <c r="Q75" s="16" t="s">
        <v>62</v>
      </c>
      <c r="R75" s="17">
        <v>489.5</v>
      </c>
      <c r="S75" s="18">
        <f t="shared" si="19"/>
        <v>7342.5</v>
      </c>
      <c r="T75" s="8">
        <v>0</v>
      </c>
      <c r="U75" s="19">
        <v>0</v>
      </c>
      <c r="V75" s="19">
        <v>0</v>
      </c>
      <c r="W75" s="19">
        <v>18</v>
      </c>
      <c r="X75" s="19">
        <v>0</v>
      </c>
      <c r="Y75" s="19">
        <v>0</v>
      </c>
      <c r="Z75" s="19">
        <v>10</v>
      </c>
      <c r="AA75" s="20">
        <f t="shared" si="20"/>
        <v>0</v>
      </c>
      <c r="AB75" s="21">
        <f t="shared" si="21"/>
        <v>28</v>
      </c>
      <c r="AC75" s="22">
        <f t="shared" si="22"/>
        <v>0</v>
      </c>
      <c r="AD75" s="22">
        <f t="shared" si="23"/>
        <v>0</v>
      </c>
      <c r="AE75" s="18">
        <f t="shared" si="24"/>
        <v>0</v>
      </c>
      <c r="AF75" s="18">
        <v>0</v>
      </c>
      <c r="AG75" s="18">
        <f>VLOOKUP(D75,[2]Sheet1!$B$51:$D$61,3,0)</f>
        <v>14238.96</v>
      </c>
      <c r="AH75" s="23">
        <f t="shared" si="25"/>
        <v>14238.96</v>
      </c>
      <c r="AI75" s="18">
        <v>0</v>
      </c>
      <c r="AJ75" s="18">
        <f>VLOOKUP(D75,[1]Sheet1!$D$6:$DR$155,119,0)</f>
        <v>0</v>
      </c>
      <c r="AK75" s="18">
        <f>VLOOKUP(D75,[1]Sheet1!$D$6:$DQ$155,118,0)</f>
        <v>0</v>
      </c>
      <c r="AL75" s="23">
        <f t="shared" si="26"/>
        <v>14238.96</v>
      </c>
      <c r="AM75" s="24">
        <f t="shared" si="27"/>
        <v>1708.6751999999999</v>
      </c>
      <c r="AN75" s="24">
        <f t="shared" si="28"/>
        <v>106.79219999999999</v>
      </c>
      <c r="AO75" s="24">
        <f t="shared" si="29"/>
        <v>200</v>
      </c>
      <c r="AP75" s="24">
        <f t="shared" si="16"/>
        <v>1851</v>
      </c>
      <c r="AQ75" s="24">
        <f t="shared" si="17"/>
        <v>463</v>
      </c>
      <c r="AR75" s="24">
        <f t="shared" si="15"/>
        <v>12223.4926</v>
      </c>
      <c r="AS75" s="25" t="s">
        <v>63</v>
      </c>
      <c r="AT75" s="26">
        <v>0</v>
      </c>
    </row>
    <row r="76" spans="1:46" ht="30" x14ac:dyDescent="0.25">
      <c r="A76" s="7">
        <v>72</v>
      </c>
      <c r="B76" s="8" t="str">
        <f t="shared" si="18"/>
        <v>CFCP0115</v>
      </c>
      <c r="C76" s="8" t="s">
        <v>64</v>
      </c>
      <c r="D76" s="8" t="s">
        <v>301</v>
      </c>
      <c r="E76" s="9" t="s">
        <v>302</v>
      </c>
      <c r="F76" s="8" t="s">
        <v>239</v>
      </c>
      <c r="G76" s="8" t="s">
        <v>303</v>
      </c>
      <c r="H76" s="10" t="s">
        <v>303</v>
      </c>
      <c r="I76" s="11" t="s">
        <v>58</v>
      </c>
      <c r="J76" s="12">
        <v>42583</v>
      </c>
      <c r="K76" s="13" t="s">
        <v>93</v>
      </c>
      <c r="L76" s="14">
        <v>673302010002721</v>
      </c>
      <c r="M76" s="14" t="s">
        <v>106</v>
      </c>
      <c r="N76" s="14">
        <v>100919183432</v>
      </c>
      <c r="O76" s="13">
        <v>3811378604</v>
      </c>
      <c r="P76" s="15">
        <v>0</v>
      </c>
      <c r="Q76" s="16" t="s">
        <v>62</v>
      </c>
      <c r="R76" s="17">
        <v>489.5</v>
      </c>
      <c r="S76" s="18">
        <f t="shared" si="19"/>
        <v>7342.5</v>
      </c>
      <c r="T76" s="8">
        <v>6</v>
      </c>
      <c r="U76" s="19">
        <v>0</v>
      </c>
      <c r="V76" s="19">
        <v>1</v>
      </c>
      <c r="W76" s="19">
        <v>0</v>
      </c>
      <c r="X76" s="19">
        <v>0</v>
      </c>
      <c r="Y76" s="19">
        <v>4</v>
      </c>
      <c r="Z76" s="19">
        <v>18</v>
      </c>
      <c r="AA76" s="20">
        <f t="shared" si="20"/>
        <v>6</v>
      </c>
      <c r="AB76" s="21">
        <f t="shared" si="21"/>
        <v>28</v>
      </c>
      <c r="AC76" s="22">
        <f t="shared" si="22"/>
        <v>2937</v>
      </c>
      <c r="AD76" s="22">
        <f t="shared" si="23"/>
        <v>0</v>
      </c>
      <c r="AE76" s="18">
        <f t="shared" si="24"/>
        <v>122.375</v>
      </c>
      <c r="AF76" s="18">
        <v>0</v>
      </c>
      <c r="AG76" s="18">
        <f>VLOOKUP(D76,[2]Sheet1!$B$51:$D$61,3,0)</f>
        <v>28475</v>
      </c>
      <c r="AH76" s="23">
        <f t="shared" si="25"/>
        <v>31534.375</v>
      </c>
      <c r="AI76" s="18">
        <v>0</v>
      </c>
      <c r="AJ76" s="18">
        <f>VLOOKUP(D76,[1]Sheet1!$D$6:$DR$155,119,0)</f>
        <v>0</v>
      </c>
      <c r="AK76" s="18">
        <f>VLOOKUP(D76,[1]Sheet1!$D$6:$DQ$155,118,0)</f>
        <v>350</v>
      </c>
      <c r="AL76" s="23">
        <f t="shared" si="26"/>
        <v>31184.375</v>
      </c>
      <c r="AM76" s="24">
        <f t="shared" si="27"/>
        <v>1800</v>
      </c>
      <c r="AN76" s="24">
        <f t="shared" si="28"/>
        <v>236.5078125</v>
      </c>
      <c r="AO76" s="24">
        <f t="shared" si="29"/>
        <v>200</v>
      </c>
      <c r="AP76" s="24">
        <f t="shared" si="16"/>
        <v>1950</v>
      </c>
      <c r="AQ76" s="24">
        <f t="shared" si="17"/>
        <v>1025</v>
      </c>
      <c r="AR76" s="24">
        <f t="shared" si="15"/>
        <v>28947.8671875</v>
      </c>
      <c r="AS76" s="25" t="s">
        <v>63</v>
      </c>
      <c r="AT76" s="26">
        <v>0</v>
      </c>
    </row>
    <row r="77" spans="1:46" ht="30" x14ac:dyDescent="0.25">
      <c r="A77" s="7">
        <v>73</v>
      </c>
      <c r="B77" s="8" t="str">
        <f t="shared" si="18"/>
        <v>CFCP0114</v>
      </c>
      <c r="C77" s="8" t="s">
        <v>64</v>
      </c>
      <c r="D77" s="8" t="s">
        <v>304</v>
      </c>
      <c r="E77" s="9" t="s">
        <v>305</v>
      </c>
      <c r="F77" s="8" t="s">
        <v>239</v>
      </c>
      <c r="G77" s="8" t="s">
        <v>240</v>
      </c>
      <c r="H77" s="10" t="s">
        <v>265</v>
      </c>
      <c r="I77" s="11" t="s">
        <v>58</v>
      </c>
      <c r="J77" s="12">
        <v>42114</v>
      </c>
      <c r="K77" s="13" t="s">
        <v>93</v>
      </c>
      <c r="L77" s="14">
        <v>673302010003154</v>
      </c>
      <c r="M77" s="14" t="s">
        <v>106</v>
      </c>
      <c r="N77" s="14">
        <v>101258892279</v>
      </c>
      <c r="O77" s="13">
        <v>3811378760</v>
      </c>
      <c r="P77" s="15">
        <v>0</v>
      </c>
      <c r="Q77" s="16" t="s">
        <v>62</v>
      </c>
      <c r="R77" s="17">
        <v>489.5</v>
      </c>
      <c r="S77" s="18">
        <f t="shared" si="19"/>
        <v>7342.5</v>
      </c>
      <c r="T77" s="8">
        <v>0</v>
      </c>
      <c r="U77" s="19">
        <v>0</v>
      </c>
      <c r="V77" s="19">
        <v>0</v>
      </c>
      <c r="W77" s="19">
        <v>18</v>
      </c>
      <c r="X77" s="19">
        <v>0</v>
      </c>
      <c r="Y77" s="19">
        <v>0</v>
      </c>
      <c r="Z77" s="19">
        <v>10</v>
      </c>
      <c r="AA77" s="20">
        <f t="shared" si="20"/>
        <v>0</v>
      </c>
      <c r="AB77" s="21">
        <f t="shared" si="21"/>
        <v>28</v>
      </c>
      <c r="AC77" s="22">
        <f t="shared" si="22"/>
        <v>0</v>
      </c>
      <c r="AD77" s="22">
        <f t="shared" si="23"/>
        <v>0</v>
      </c>
      <c r="AE77" s="18">
        <f t="shared" si="24"/>
        <v>0</v>
      </c>
      <c r="AF77" s="18">
        <v>0</v>
      </c>
      <c r="AG77" s="18">
        <f>VLOOKUP(D77,[2]Sheet1!$B$3:$D$50,3,0)</f>
        <v>13601.5</v>
      </c>
      <c r="AH77" s="23">
        <f t="shared" si="25"/>
        <v>13601.5</v>
      </c>
      <c r="AI77" s="18">
        <v>0</v>
      </c>
      <c r="AJ77" s="18">
        <f>VLOOKUP(D77,[1]Sheet1!$D$6:$DR$155,119,0)</f>
        <v>0</v>
      </c>
      <c r="AK77" s="18">
        <f>VLOOKUP(D77,[1]Sheet1!$D$6:$DQ$155,118,0)</f>
        <v>0</v>
      </c>
      <c r="AL77" s="23">
        <f t="shared" si="26"/>
        <v>13601.5</v>
      </c>
      <c r="AM77" s="24">
        <f t="shared" si="27"/>
        <v>1632.1799999999998</v>
      </c>
      <c r="AN77" s="24">
        <f t="shared" si="28"/>
        <v>102.01124999999999</v>
      </c>
      <c r="AO77" s="24">
        <f t="shared" si="29"/>
        <v>200</v>
      </c>
      <c r="AP77" s="24">
        <f t="shared" si="16"/>
        <v>1768</v>
      </c>
      <c r="AQ77" s="24">
        <f t="shared" si="17"/>
        <v>442</v>
      </c>
      <c r="AR77" s="24">
        <f t="shared" si="15"/>
        <v>11667.30875</v>
      </c>
      <c r="AS77" s="25" t="s">
        <v>63</v>
      </c>
      <c r="AT77" s="26">
        <v>0</v>
      </c>
    </row>
    <row r="78" spans="1:46" ht="30" x14ac:dyDescent="0.25">
      <c r="A78" s="7">
        <v>74</v>
      </c>
      <c r="B78" s="8" t="str">
        <f t="shared" si="18"/>
        <v>CFCP0729</v>
      </c>
      <c r="C78" s="8" t="s">
        <v>64</v>
      </c>
      <c r="D78" s="8" t="s">
        <v>306</v>
      </c>
      <c r="E78" s="9" t="s">
        <v>307</v>
      </c>
      <c r="F78" s="8" t="s">
        <v>239</v>
      </c>
      <c r="G78" s="8" t="s">
        <v>261</v>
      </c>
      <c r="H78" s="10" t="s">
        <v>308</v>
      </c>
      <c r="I78" s="11" t="s">
        <v>58</v>
      </c>
      <c r="J78" s="12">
        <v>45250</v>
      </c>
      <c r="K78" s="13" t="s">
        <v>93</v>
      </c>
      <c r="L78" s="14" t="s">
        <v>309</v>
      </c>
      <c r="M78" s="14" t="s">
        <v>310</v>
      </c>
      <c r="N78" s="14">
        <v>102021013314</v>
      </c>
      <c r="O78" s="13">
        <v>3812953899</v>
      </c>
      <c r="P78" s="15">
        <v>0</v>
      </c>
      <c r="Q78" s="16" t="s">
        <v>62</v>
      </c>
      <c r="R78" s="17">
        <v>489.5</v>
      </c>
      <c r="S78" s="18">
        <f t="shared" si="19"/>
        <v>7342.5</v>
      </c>
      <c r="T78" s="8">
        <v>7</v>
      </c>
      <c r="U78" s="19">
        <v>0</v>
      </c>
      <c r="V78" s="19">
        <v>5.5</v>
      </c>
      <c r="W78" s="19">
        <v>19</v>
      </c>
      <c r="X78" s="19">
        <v>0</v>
      </c>
      <c r="Y78" s="19">
        <v>2</v>
      </c>
      <c r="Z78" s="19">
        <v>0</v>
      </c>
      <c r="AA78" s="20">
        <f t="shared" si="20"/>
        <v>7</v>
      </c>
      <c r="AB78" s="21">
        <f t="shared" si="21"/>
        <v>28</v>
      </c>
      <c r="AC78" s="22">
        <f t="shared" si="22"/>
        <v>3426.5</v>
      </c>
      <c r="AD78" s="22">
        <f t="shared" si="23"/>
        <v>0</v>
      </c>
      <c r="AE78" s="18">
        <f t="shared" si="24"/>
        <v>673.0625</v>
      </c>
      <c r="AF78" s="18">
        <v>0</v>
      </c>
      <c r="AG78" s="18">
        <v>0</v>
      </c>
      <c r="AH78" s="23">
        <f t="shared" si="25"/>
        <v>4099.5625</v>
      </c>
      <c r="AI78" s="18">
        <v>0</v>
      </c>
      <c r="AJ78" s="18">
        <f>VLOOKUP(D78,[1]Sheet1!$D$6:$DR$155,119,0)</f>
        <v>0</v>
      </c>
      <c r="AK78" s="18">
        <f>VLOOKUP(D78,[1]Sheet1!$D$6:$DQ$155,118,0)</f>
        <v>0</v>
      </c>
      <c r="AL78" s="23">
        <f t="shared" si="26"/>
        <v>4099.5625</v>
      </c>
      <c r="AM78" s="24">
        <f t="shared" si="27"/>
        <v>491.94749999999999</v>
      </c>
      <c r="AN78" s="24">
        <f t="shared" si="28"/>
        <v>30.746718749999999</v>
      </c>
      <c r="AO78" s="24">
        <f t="shared" si="29"/>
        <v>0</v>
      </c>
      <c r="AP78" s="24">
        <f t="shared" si="16"/>
        <v>533</v>
      </c>
      <c r="AQ78" s="24">
        <f t="shared" si="17"/>
        <v>133</v>
      </c>
      <c r="AR78" s="24">
        <f t="shared" si="15"/>
        <v>3576.8682812500001</v>
      </c>
      <c r="AS78" s="25" t="s">
        <v>63</v>
      </c>
      <c r="AT78" s="26">
        <v>0</v>
      </c>
    </row>
    <row r="79" spans="1:46" ht="30" x14ac:dyDescent="0.25">
      <c r="A79" s="7">
        <v>75</v>
      </c>
      <c r="B79" s="8" t="str">
        <f t="shared" si="18"/>
        <v>CFCP0602</v>
      </c>
      <c r="C79" s="8" t="s">
        <v>64</v>
      </c>
      <c r="D79" s="8" t="s">
        <v>311</v>
      </c>
      <c r="E79" s="9" t="s">
        <v>312</v>
      </c>
      <c r="F79" s="8" t="s">
        <v>239</v>
      </c>
      <c r="G79" s="8" t="s">
        <v>240</v>
      </c>
      <c r="H79" s="10" t="s">
        <v>265</v>
      </c>
      <c r="I79" s="11" t="s">
        <v>58</v>
      </c>
      <c r="J79" s="12">
        <v>44760</v>
      </c>
      <c r="K79" s="13" t="s">
        <v>93</v>
      </c>
      <c r="L79" s="14">
        <v>647702010005833</v>
      </c>
      <c r="M79" s="14" t="s">
        <v>94</v>
      </c>
      <c r="N79" s="14">
        <v>101877145793</v>
      </c>
      <c r="O79" s="13">
        <v>3812550594</v>
      </c>
      <c r="P79" s="15">
        <v>0</v>
      </c>
      <c r="Q79" s="16" t="s">
        <v>62</v>
      </c>
      <c r="R79" s="17">
        <v>489.5</v>
      </c>
      <c r="S79" s="18">
        <f t="shared" si="19"/>
        <v>7342.5</v>
      </c>
      <c r="T79" s="8">
        <v>2</v>
      </c>
      <c r="U79" s="19">
        <v>0</v>
      </c>
      <c r="V79" s="19">
        <v>13.5</v>
      </c>
      <c r="W79" s="19">
        <v>19</v>
      </c>
      <c r="X79" s="19">
        <v>0</v>
      </c>
      <c r="Y79" s="19">
        <v>2</v>
      </c>
      <c r="Z79" s="19">
        <v>5</v>
      </c>
      <c r="AA79" s="20">
        <f t="shared" si="20"/>
        <v>2</v>
      </c>
      <c r="AB79" s="21">
        <f t="shared" si="21"/>
        <v>28</v>
      </c>
      <c r="AC79" s="22">
        <f t="shared" si="22"/>
        <v>979</v>
      </c>
      <c r="AD79" s="22">
        <f t="shared" si="23"/>
        <v>0</v>
      </c>
      <c r="AE79" s="18">
        <f t="shared" si="24"/>
        <v>1652.0625</v>
      </c>
      <c r="AF79" s="18">
        <v>0</v>
      </c>
      <c r="AG79" s="18">
        <f>VLOOKUP(D79,[2]Sheet1!$B$3:$D$50,3,0)</f>
        <v>4984</v>
      </c>
      <c r="AH79" s="23">
        <f t="shared" si="25"/>
        <v>7615.0625</v>
      </c>
      <c r="AI79" s="18">
        <v>0</v>
      </c>
      <c r="AJ79" s="18">
        <f>VLOOKUP(D79,[1]Sheet1!$D$6:$DR$155,119,0)</f>
        <v>0</v>
      </c>
      <c r="AK79" s="18">
        <f>VLOOKUP(D79,[1]Sheet1!$D$6:$DQ$155,118,0)</f>
        <v>0</v>
      </c>
      <c r="AL79" s="23">
        <f t="shared" si="26"/>
        <v>7615.0625</v>
      </c>
      <c r="AM79" s="24">
        <f t="shared" si="27"/>
        <v>913.8075</v>
      </c>
      <c r="AN79" s="24">
        <f t="shared" si="28"/>
        <v>57.11296875</v>
      </c>
      <c r="AO79" s="24">
        <f t="shared" si="29"/>
        <v>0</v>
      </c>
      <c r="AP79" s="24">
        <f t="shared" si="16"/>
        <v>990</v>
      </c>
      <c r="AQ79" s="24">
        <f t="shared" si="17"/>
        <v>247</v>
      </c>
      <c r="AR79" s="24">
        <f t="shared" si="15"/>
        <v>6644.1420312499995</v>
      </c>
      <c r="AS79" s="25" t="s">
        <v>63</v>
      </c>
      <c r="AT79" s="26">
        <v>0</v>
      </c>
    </row>
    <row r="80" spans="1:46" ht="30" x14ac:dyDescent="0.25">
      <c r="A80" s="7">
        <v>76</v>
      </c>
      <c r="B80" s="8" t="str">
        <f t="shared" si="18"/>
        <v>CFCP0005</v>
      </c>
      <c r="C80" s="8" t="s">
        <v>64</v>
      </c>
      <c r="D80" s="8" t="s">
        <v>313</v>
      </c>
      <c r="E80" s="9" t="s">
        <v>314</v>
      </c>
      <c r="F80" s="8" t="s">
        <v>239</v>
      </c>
      <c r="G80" s="8" t="s">
        <v>240</v>
      </c>
      <c r="H80" s="10" t="s">
        <v>246</v>
      </c>
      <c r="I80" s="11" t="s">
        <v>58</v>
      </c>
      <c r="J80" s="12">
        <v>42023</v>
      </c>
      <c r="K80" s="13" t="s">
        <v>69</v>
      </c>
      <c r="L80" s="14" t="s">
        <v>315</v>
      </c>
      <c r="M80" s="14" t="s">
        <v>71</v>
      </c>
      <c r="N80" s="14">
        <v>101135264770</v>
      </c>
      <c r="O80" s="13">
        <v>3811378753</v>
      </c>
      <c r="P80" s="15">
        <v>0</v>
      </c>
      <c r="Q80" s="16" t="s">
        <v>62</v>
      </c>
      <c r="R80" s="17">
        <v>489.5</v>
      </c>
      <c r="S80" s="18">
        <f t="shared" si="19"/>
        <v>7342.5</v>
      </c>
      <c r="T80" s="8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28</v>
      </c>
      <c r="AA80" s="20">
        <f t="shared" si="20"/>
        <v>0</v>
      </c>
      <c r="AB80" s="21">
        <f t="shared" si="21"/>
        <v>28</v>
      </c>
      <c r="AC80" s="22">
        <f t="shared" si="22"/>
        <v>0</v>
      </c>
      <c r="AD80" s="22">
        <f t="shared" si="23"/>
        <v>0</v>
      </c>
      <c r="AE80" s="18">
        <f t="shared" si="24"/>
        <v>0</v>
      </c>
      <c r="AF80" s="18">
        <v>0</v>
      </c>
      <c r="AG80" s="18">
        <f>VLOOKUP(D80,[2]Sheet1!$B$3:$D$50,3,0)</f>
        <v>44863.199999999997</v>
      </c>
      <c r="AH80" s="23">
        <f t="shared" si="25"/>
        <v>44863.199999999997</v>
      </c>
      <c r="AI80" s="18">
        <v>0</v>
      </c>
      <c r="AJ80" s="18">
        <f>VLOOKUP(D80,[1]Sheet1!$D$6:$DR$155,119,0)</f>
        <v>0</v>
      </c>
      <c r="AK80" s="18">
        <f>VLOOKUP(D80,[1]Sheet1!$D$6:$DQ$155,118,0)</f>
        <v>0</v>
      </c>
      <c r="AL80" s="23">
        <f t="shared" si="26"/>
        <v>44863.199999999997</v>
      </c>
      <c r="AM80" s="24">
        <f t="shared" si="27"/>
        <v>1800</v>
      </c>
      <c r="AN80" s="24">
        <f t="shared" si="28"/>
        <v>336.47399999999999</v>
      </c>
      <c r="AO80" s="24">
        <f t="shared" si="29"/>
        <v>200</v>
      </c>
      <c r="AP80" s="24">
        <f t="shared" si="16"/>
        <v>1950</v>
      </c>
      <c r="AQ80" s="24">
        <f t="shared" si="17"/>
        <v>1458</v>
      </c>
      <c r="AR80" s="24">
        <f t="shared" si="15"/>
        <v>42526.725999999995</v>
      </c>
      <c r="AS80" s="25" t="s">
        <v>63</v>
      </c>
      <c r="AT80" s="26">
        <v>0</v>
      </c>
    </row>
    <row r="81" spans="1:46" ht="30" x14ac:dyDescent="0.25">
      <c r="A81" s="7">
        <v>77</v>
      </c>
      <c r="B81" s="8" t="str">
        <f t="shared" si="18"/>
        <v>CFCP0101</v>
      </c>
      <c r="C81" s="8" t="s">
        <v>64</v>
      </c>
      <c r="D81" s="8" t="s">
        <v>316</v>
      </c>
      <c r="E81" s="9" t="s">
        <v>317</v>
      </c>
      <c r="F81" s="8" t="s">
        <v>239</v>
      </c>
      <c r="G81" s="8" t="s">
        <v>240</v>
      </c>
      <c r="H81" s="10" t="s">
        <v>318</v>
      </c>
      <c r="I81" s="11" t="s">
        <v>58</v>
      </c>
      <c r="J81" s="12"/>
      <c r="K81" s="13" t="s">
        <v>93</v>
      </c>
      <c r="L81" s="14">
        <v>673302010002710</v>
      </c>
      <c r="M81" s="14" t="s">
        <v>106</v>
      </c>
      <c r="N81" s="14">
        <v>101134592177</v>
      </c>
      <c r="O81" s="13">
        <v>3811378733</v>
      </c>
      <c r="P81" s="15">
        <v>0</v>
      </c>
      <c r="Q81" s="16" t="s">
        <v>62</v>
      </c>
      <c r="R81" s="17">
        <v>489.5</v>
      </c>
      <c r="S81" s="18">
        <f t="shared" si="19"/>
        <v>7342.5</v>
      </c>
      <c r="T81" s="8">
        <v>1</v>
      </c>
      <c r="U81" s="19">
        <v>0</v>
      </c>
      <c r="V81" s="19">
        <v>14.5</v>
      </c>
      <c r="W81" s="19">
        <v>19</v>
      </c>
      <c r="X81" s="19">
        <v>0</v>
      </c>
      <c r="Y81" s="19">
        <v>1</v>
      </c>
      <c r="Z81" s="19">
        <v>7</v>
      </c>
      <c r="AA81" s="20">
        <f t="shared" si="20"/>
        <v>1</v>
      </c>
      <c r="AB81" s="21">
        <f t="shared" si="21"/>
        <v>28</v>
      </c>
      <c r="AC81" s="22">
        <f t="shared" si="22"/>
        <v>489.5</v>
      </c>
      <c r="AD81" s="22">
        <f t="shared" si="23"/>
        <v>0</v>
      </c>
      <c r="AE81" s="18">
        <f t="shared" si="24"/>
        <v>1774.4375</v>
      </c>
      <c r="AF81" s="18">
        <v>0</v>
      </c>
      <c r="AG81" s="18">
        <f>VLOOKUP(D81,[2]Sheet1!$B$3:$D$50,3,0)</f>
        <v>6275.3</v>
      </c>
      <c r="AH81" s="23">
        <f t="shared" si="25"/>
        <v>8539.2374999999993</v>
      </c>
      <c r="AI81" s="18">
        <v>0</v>
      </c>
      <c r="AJ81" s="18">
        <f>VLOOKUP(D81,[1]Sheet1!$D$6:$DR$155,119,0)</f>
        <v>200</v>
      </c>
      <c r="AK81" s="18">
        <f>VLOOKUP(D81,[1]Sheet1!$D$6:$DQ$155,118,0)</f>
        <v>0</v>
      </c>
      <c r="AL81" s="23">
        <f t="shared" si="26"/>
        <v>8339.2374999999993</v>
      </c>
      <c r="AM81" s="24">
        <f t="shared" si="27"/>
        <v>1024.7085</v>
      </c>
      <c r="AN81" s="24">
        <f t="shared" si="28"/>
        <v>64.044281249999997</v>
      </c>
      <c r="AO81" s="24">
        <f t="shared" si="29"/>
        <v>0</v>
      </c>
      <c r="AP81" s="24">
        <f t="shared" si="16"/>
        <v>1110</v>
      </c>
      <c r="AQ81" s="24">
        <f t="shared" si="17"/>
        <v>278</v>
      </c>
      <c r="AR81" s="24">
        <f t="shared" si="15"/>
        <v>7250.484718749999</v>
      </c>
      <c r="AS81" s="25" t="s">
        <v>63</v>
      </c>
      <c r="AT81" s="26">
        <v>0</v>
      </c>
    </row>
    <row r="82" spans="1:46" ht="30" x14ac:dyDescent="0.25">
      <c r="A82" s="7">
        <v>78</v>
      </c>
      <c r="B82" s="8" t="str">
        <f t="shared" si="18"/>
        <v>CFCP0185</v>
      </c>
      <c r="C82" s="8" t="s">
        <v>64</v>
      </c>
      <c r="D82" s="8" t="s">
        <v>319</v>
      </c>
      <c r="E82" s="9" t="s">
        <v>320</v>
      </c>
      <c r="F82" s="8" t="s">
        <v>239</v>
      </c>
      <c r="G82" s="8" t="s">
        <v>245</v>
      </c>
      <c r="H82" s="10" t="s">
        <v>321</v>
      </c>
      <c r="I82" s="11" t="s">
        <v>58</v>
      </c>
      <c r="J82" s="12">
        <v>42366</v>
      </c>
      <c r="K82" s="13" t="s">
        <v>69</v>
      </c>
      <c r="L82" s="14" t="s">
        <v>322</v>
      </c>
      <c r="M82" s="14" t="s">
        <v>71</v>
      </c>
      <c r="N82" s="14">
        <v>101844986501</v>
      </c>
      <c r="O82" s="13">
        <v>3811854348</v>
      </c>
      <c r="P82" s="15">
        <v>0</v>
      </c>
      <c r="Q82" s="16" t="s">
        <v>62</v>
      </c>
      <c r="R82" s="17">
        <v>489.5</v>
      </c>
      <c r="S82" s="18">
        <f t="shared" si="19"/>
        <v>7342.5</v>
      </c>
      <c r="T82" s="8">
        <v>0</v>
      </c>
      <c r="U82" s="19">
        <v>0</v>
      </c>
      <c r="V82" s="19">
        <v>0</v>
      </c>
      <c r="W82" s="19">
        <v>0</v>
      </c>
      <c r="X82" s="19">
        <v>0</v>
      </c>
      <c r="Y82" s="19">
        <v>1</v>
      </c>
      <c r="Z82" s="19">
        <v>27</v>
      </c>
      <c r="AA82" s="20">
        <f t="shared" si="20"/>
        <v>0</v>
      </c>
      <c r="AB82" s="21">
        <f t="shared" si="21"/>
        <v>28</v>
      </c>
      <c r="AC82" s="22">
        <f t="shared" si="22"/>
        <v>0</v>
      </c>
      <c r="AD82" s="22">
        <f t="shared" si="23"/>
        <v>0</v>
      </c>
      <c r="AE82" s="18">
        <f t="shared" si="24"/>
        <v>0</v>
      </c>
      <c r="AF82" s="18">
        <v>0</v>
      </c>
      <c r="AG82" s="18">
        <f>VLOOKUP(D82,[2]Sheet1!$B$51:$D$61,3,0)</f>
        <v>32294.629999999997</v>
      </c>
      <c r="AH82" s="23">
        <f t="shared" si="25"/>
        <v>32294.629999999997</v>
      </c>
      <c r="AI82" s="18">
        <v>0</v>
      </c>
      <c r="AJ82" s="18">
        <f>VLOOKUP(D82,[1]Sheet1!$D$6:$DR$155,119,0)</f>
        <v>0</v>
      </c>
      <c r="AK82" s="18">
        <f>VLOOKUP(D82,[1]Sheet1!$D$6:$DQ$155,118,0)</f>
        <v>0</v>
      </c>
      <c r="AL82" s="23">
        <f t="shared" si="26"/>
        <v>32294.629999999997</v>
      </c>
      <c r="AM82" s="24">
        <f t="shared" si="27"/>
        <v>1800</v>
      </c>
      <c r="AN82" s="24">
        <f t="shared" si="28"/>
        <v>242.20972499999996</v>
      </c>
      <c r="AO82" s="24">
        <f t="shared" si="29"/>
        <v>200</v>
      </c>
      <c r="AP82" s="24">
        <f t="shared" si="16"/>
        <v>1950</v>
      </c>
      <c r="AQ82" s="24">
        <f t="shared" si="17"/>
        <v>1050</v>
      </c>
      <c r="AR82" s="24">
        <f t="shared" si="15"/>
        <v>30052.420274999997</v>
      </c>
      <c r="AS82" s="25" t="s">
        <v>63</v>
      </c>
      <c r="AT82" s="26">
        <v>0</v>
      </c>
    </row>
    <row r="83" spans="1:46" ht="45" x14ac:dyDescent="0.25">
      <c r="A83" s="7">
        <v>79</v>
      </c>
      <c r="B83" s="8" t="str">
        <f t="shared" si="18"/>
        <v>CFCP0073</v>
      </c>
      <c r="C83" s="8" t="s">
        <v>64</v>
      </c>
      <c r="D83" s="8" t="s">
        <v>323</v>
      </c>
      <c r="E83" s="9" t="s">
        <v>324</v>
      </c>
      <c r="F83" s="8" t="s">
        <v>239</v>
      </c>
      <c r="G83" s="8" t="s">
        <v>240</v>
      </c>
      <c r="H83" s="10" t="s">
        <v>325</v>
      </c>
      <c r="I83" s="11" t="s">
        <v>58</v>
      </c>
      <c r="J83" s="12"/>
      <c r="K83" s="13" t="s">
        <v>93</v>
      </c>
      <c r="L83" s="14">
        <v>673302010002722</v>
      </c>
      <c r="M83" s="14" t="s">
        <v>106</v>
      </c>
      <c r="N83" s="14">
        <v>101336587319</v>
      </c>
      <c r="O83" s="13">
        <v>3811378607</v>
      </c>
      <c r="P83" s="15">
        <v>0</v>
      </c>
      <c r="Q83" s="16" t="s">
        <v>62</v>
      </c>
      <c r="R83" s="17">
        <v>489.5</v>
      </c>
      <c r="S83" s="18">
        <f t="shared" si="19"/>
        <v>7342.5</v>
      </c>
      <c r="T83" s="8">
        <v>0</v>
      </c>
      <c r="U83" s="19">
        <v>0</v>
      </c>
      <c r="V83" s="19">
        <v>4.5</v>
      </c>
      <c r="W83" s="19">
        <v>1</v>
      </c>
      <c r="X83" s="19">
        <v>0</v>
      </c>
      <c r="Y83" s="19">
        <v>1</v>
      </c>
      <c r="Z83" s="19">
        <v>26</v>
      </c>
      <c r="AA83" s="20">
        <f t="shared" si="20"/>
        <v>0</v>
      </c>
      <c r="AB83" s="21">
        <f t="shared" si="21"/>
        <v>28</v>
      </c>
      <c r="AC83" s="22">
        <f t="shared" si="22"/>
        <v>0</v>
      </c>
      <c r="AD83" s="22">
        <f t="shared" si="23"/>
        <v>0</v>
      </c>
      <c r="AE83" s="18">
        <f t="shared" si="24"/>
        <v>550.6875</v>
      </c>
      <c r="AF83" s="18">
        <v>0</v>
      </c>
      <c r="AG83" s="18">
        <f>VLOOKUP(D83,[2]Sheet1!$B$3:$D$50,3,0)</f>
        <v>35304.5</v>
      </c>
      <c r="AH83" s="23">
        <f t="shared" si="25"/>
        <v>35855.1875</v>
      </c>
      <c r="AI83" s="18">
        <v>0</v>
      </c>
      <c r="AJ83" s="18">
        <f>VLOOKUP(D83,[1]Sheet1!$D$6:$DR$155,119,0)</f>
        <v>200</v>
      </c>
      <c r="AK83" s="18">
        <f>VLOOKUP(D83,[1]Sheet1!$D$6:$DQ$155,118,0)</f>
        <v>0</v>
      </c>
      <c r="AL83" s="23">
        <f t="shared" si="26"/>
        <v>35655.1875</v>
      </c>
      <c r="AM83" s="24">
        <f t="shared" si="27"/>
        <v>1800</v>
      </c>
      <c r="AN83" s="24">
        <f t="shared" si="28"/>
        <v>268.91390624999997</v>
      </c>
      <c r="AO83" s="24">
        <f t="shared" si="29"/>
        <v>200</v>
      </c>
      <c r="AP83" s="24">
        <f t="shared" si="16"/>
        <v>1950</v>
      </c>
      <c r="AQ83" s="24">
        <f t="shared" si="17"/>
        <v>1165</v>
      </c>
      <c r="AR83" s="24">
        <f t="shared" si="15"/>
        <v>33386.273593749997</v>
      </c>
      <c r="AS83" s="25" t="s">
        <v>63</v>
      </c>
      <c r="AT83" s="26">
        <v>0</v>
      </c>
    </row>
    <row r="84" spans="1:46" ht="30" x14ac:dyDescent="0.25">
      <c r="A84" s="7">
        <v>80</v>
      </c>
      <c r="B84" s="8" t="str">
        <f t="shared" si="18"/>
        <v>CFCP0556</v>
      </c>
      <c r="C84" s="8" t="s">
        <v>64</v>
      </c>
      <c r="D84" s="8" t="s">
        <v>326</v>
      </c>
      <c r="E84" s="9" t="s">
        <v>327</v>
      </c>
      <c r="F84" s="8" t="s">
        <v>239</v>
      </c>
      <c r="G84" s="8" t="s">
        <v>240</v>
      </c>
      <c r="H84" s="10" t="s">
        <v>265</v>
      </c>
      <c r="I84" s="11" t="s">
        <v>58</v>
      </c>
      <c r="J84" s="12">
        <v>45529</v>
      </c>
      <c r="K84" s="13" t="s">
        <v>93</v>
      </c>
      <c r="L84" s="14">
        <v>647702010005840</v>
      </c>
      <c r="M84" s="14" t="s">
        <v>94</v>
      </c>
      <c r="N84" s="14">
        <v>101336587335</v>
      </c>
      <c r="O84" s="13">
        <v>3812601698</v>
      </c>
      <c r="P84" s="15">
        <v>0</v>
      </c>
      <c r="Q84" s="16" t="s">
        <v>62</v>
      </c>
      <c r="R84" s="17">
        <v>489.5</v>
      </c>
      <c r="S84" s="18">
        <f t="shared" si="19"/>
        <v>7342.5</v>
      </c>
      <c r="T84" s="8">
        <v>23</v>
      </c>
      <c r="U84" s="19">
        <v>0</v>
      </c>
      <c r="V84" s="19">
        <v>61</v>
      </c>
      <c r="W84" s="19">
        <v>1</v>
      </c>
      <c r="X84" s="19">
        <v>0</v>
      </c>
      <c r="Y84" s="19">
        <v>4</v>
      </c>
      <c r="Z84" s="19">
        <v>0</v>
      </c>
      <c r="AA84" s="20">
        <f t="shared" si="20"/>
        <v>23</v>
      </c>
      <c r="AB84" s="21">
        <f t="shared" si="21"/>
        <v>28</v>
      </c>
      <c r="AC84" s="22">
        <f t="shared" si="22"/>
        <v>11258.5</v>
      </c>
      <c r="AD84" s="22">
        <f t="shared" si="23"/>
        <v>0</v>
      </c>
      <c r="AE84" s="18">
        <f t="shared" si="24"/>
        <v>7464.875</v>
      </c>
      <c r="AF84" s="18">
        <v>0</v>
      </c>
      <c r="AG84" s="18">
        <v>0</v>
      </c>
      <c r="AH84" s="23">
        <f t="shared" si="25"/>
        <v>18723.375</v>
      </c>
      <c r="AI84" s="18">
        <v>0</v>
      </c>
      <c r="AJ84" s="18">
        <f>VLOOKUP(D84,[1]Sheet1!$D$6:$DR$155,119,0)</f>
        <v>0</v>
      </c>
      <c r="AK84" s="18">
        <f>VLOOKUP(D84,[1]Sheet1!$D$6:$DQ$155,118,0)</f>
        <v>0</v>
      </c>
      <c r="AL84" s="23">
        <f t="shared" si="26"/>
        <v>18723.375</v>
      </c>
      <c r="AM84" s="24">
        <f t="shared" si="27"/>
        <v>1800</v>
      </c>
      <c r="AN84" s="24">
        <f t="shared" si="28"/>
        <v>140.42531249999999</v>
      </c>
      <c r="AO84" s="24">
        <f t="shared" si="29"/>
        <v>200</v>
      </c>
      <c r="AP84" s="24">
        <f t="shared" si="16"/>
        <v>1950</v>
      </c>
      <c r="AQ84" s="24">
        <f t="shared" si="17"/>
        <v>609</v>
      </c>
      <c r="AR84" s="24">
        <f t="shared" si="15"/>
        <v>16582.9496875</v>
      </c>
      <c r="AS84" s="25" t="s">
        <v>63</v>
      </c>
      <c r="AT84" s="26">
        <v>0</v>
      </c>
    </row>
    <row r="85" spans="1:46" ht="30" x14ac:dyDescent="0.25">
      <c r="A85" s="7">
        <v>81</v>
      </c>
      <c r="B85" s="8" t="str">
        <f t="shared" si="18"/>
        <v>CFCA0240</v>
      </c>
      <c r="C85" s="8" t="s">
        <v>64</v>
      </c>
      <c r="D85" s="8" t="s">
        <v>328</v>
      </c>
      <c r="E85" s="9" t="s">
        <v>329</v>
      </c>
      <c r="F85" s="8" t="s">
        <v>55</v>
      </c>
      <c r="G85" s="8" t="s">
        <v>67</v>
      </c>
      <c r="H85" s="10" t="s">
        <v>289</v>
      </c>
      <c r="I85" s="11" t="s">
        <v>58</v>
      </c>
      <c r="J85" s="12"/>
      <c r="K85" s="13" t="s">
        <v>93</v>
      </c>
      <c r="L85" s="14" t="s">
        <v>330</v>
      </c>
      <c r="M85" s="14" t="s">
        <v>94</v>
      </c>
      <c r="N85" s="14">
        <v>101171717764</v>
      </c>
      <c r="O85" s="13">
        <v>3811378566</v>
      </c>
      <c r="P85" s="15">
        <v>0</v>
      </c>
      <c r="Q85" s="16" t="s">
        <v>62</v>
      </c>
      <c r="R85" s="17">
        <v>489.5</v>
      </c>
      <c r="S85" s="18">
        <f t="shared" si="19"/>
        <v>7342.5</v>
      </c>
      <c r="T85" s="8">
        <v>2</v>
      </c>
      <c r="U85" s="19">
        <v>0</v>
      </c>
      <c r="V85" s="19">
        <v>9.5</v>
      </c>
      <c r="W85" s="19">
        <v>0</v>
      </c>
      <c r="X85" s="19">
        <v>0</v>
      </c>
      <c r="Y85" s="19">
        <v>4</v>
      </c>
      <c r="Z85" s="19">
        <v>22</v>
      </c>
      <c r="AA85" s="20">
        <f t="shared" si="20"/>
        <v>2</v>
      </c>
      <c r="AB85" s="21">
        <f t="shared" si="21"/>
        <v>28</v>
      </c>
      <c r="AC85" s="22">
        <f t="shared" si="22"/>
        <v>979</v>
      </c>
      <c r="AD85" s="22">
        <f t="shared" si="23"/>
        <v>0</v>
      </c>
      <c r="AE85" s="18">
        <f t="shared" si="24"/>
        <v>1162.5625</v>
      </c>
      <c r="AF85" s="18">
        <v>0</v>
      </c>
      <c r="AG85" s="18">
        <f>VLOOKUP(D85,[2]Sheet1!$B$3:$D$50,3,0)</f>
        <v>21645</v>
      </c>
      <c r="AH85" s="23">
        <f t="shared" si="25"/>
        <v>23786.5625</v>
      </c>
      <c r="AI85" s="18">
        <v>0</v>
      </c>
      <c r="AJ85" s="18">
        <f>VLOOKUP(D85,[1]Sheet1!$D$6:$DR$155,119,0)</f>
        <v>0</v>
      </c>
      <c r="AK85" s="18">
        <f>VLOOKUP(D85,[1]Sheet1!$D$6:$DQ$155,118,0)</f>
        <v>0</v>
      </c>
      <c r="AL85" s="23">
        <f t="shared" si="26"/>
        <v>23786.5625</v>
      </c>
      <c r="AM85" s="24">
        <f t="shared" si="27"/>
        <v>1800</v>
      </c>
      <c r="AN85" s="24">
        <f t="shared" si="28"/>
        <v>178.39921874999999</v>
      </c>
      <c r="AO85" s="24">
        <f t="shared" si="29"/>
        <v>200</v>
      </c>
      <c r="AP85" s="24">
        <f t="shared" si="16"/>
        <v>1950</v>
      </c>
      <c r="AQ85" s="24">
        <f t="shared" si="17"/>
        <v>773</v>
      </c>
      <c r="AR85" s="24">
        <f t="shared" si="15"/>
        <v>21608.163281249999</v>
      </c>
      <c r="AS85" s="25" t="s">
        <v>63</v>
      </c>
      <c r="AT85" s="26">
        <v>0</v>
      </c>
    </row>
    <row r="86" spans="1:46" ht="30" x14ac:dyDescent="0.25">
      <c r="A86" s="7">
        <v>82</v>
      </c>
      <c r="B86" s="8" t="str">
        <f t="shared" si="18"/>
        <v>NUC0799</v>
      </c>
      <c r="C86" s="8" t="s">
        <v>64</v>
      </c>
      <c r="D86" s="8" t="s">
        <v>331</v>
      </c>
      <c r="E86" s="9" t="s">
        <v>332</v>
      </c>
      <c r="F86" s="8" t="s">
        <v>239</v>
      </c>
      <c r="G86" s="8" t="s">
        <v>240</v>
      </c>
      <c r="H86" s="10" t="s">
        <v>265</v>
      </c>
      <c r="I86" s="11" t="s">
        <v>58</v>
      </c>
      <c r="J86" s="12"/>
      <c r="K86" s="13" t="s">
        <v>93</v>
      </c>
      <c r="L86" s="14" t="s">
        <v>333</v>
      </c>
      <c r="M86" s="14" t="s">
        <v>94</v>
      </c>
      <c r="N86" s="14">
        <v>100351536406</v>
      </c>
      <c r="O86" s="13">
        <v>3813010883</v>
      </c>
      <c r="P86" s="15">
        <v>0</v>
      </c>
      <c r="Q86" s="16" t="s">
        <v>62</v>
      </c>
      <c r="R86" s="17">
        <v>489.5</v>
      </c>
      <c r="S86" s="18">
        <f t="shared" si="19"/>
        <v>7342.5</v>
      </c>
      <c r="T86" s="8">
        <v>0</v>
      </c>
      <c r="U86" s="19">
        <v>0</v>
      </c>
      <c r="V86" s="19">
        <v>0</v>
      </c>
      <c r="W86" s="19">
        <v>9</v>
      </c>
      <c r="X86" s="19">
        <v>0</v>
      </c>
      <c r="Y86" s="19">
        <v>0</v>
      </c>
      <c r="Z86" s="19">
        <v>19</v>
      </c>
      <c r="AA86" s="20">
        <f t="shared" si="20"/>
        <v>0</v>
      </c>
      <c r="AB86" s="21">
        <f t="shared" si="21"/>
        <v>28</v>
      </c>
      <c r="AC86" s="22">
        <f t="shared" si="22"/>
        <v>0</v>
      </c>
      <c r="AD86" s="22">
        <f t="shared" si="23"/>
        <v>0</v>
      </c>
      <c r="AE86" s="18">
        <f t="shared" si="24"/>
        <v>0</v>
      </c>
      <c r="AF86" s="18">
        <v>0</v>
      </c>
      <c r="AG86" s="18">
        <f>VLOOKUP(D86,[2]Sheet1!$B$3:$D$50,3,0)</f>
        <v>14651.55</v>
      </c>
      <c r="AH86" s="23">
        <f t="shared" si="25"/>
        <v>14651.55</v>
      </c>
      <c r="AI86" s="18">
        <v>0</v>
      </c>
      <c r="AJ86" s="18">
        <f>VLOOKUP(D86,[1]Sheet1!$D$6:$DR$155,119,0)</f>
        <v>0</v>
      </c>
      <c r="AK86" s="18">
        <f>VLOOKUP(D86,[1]Sheet1!$D$6:$DQ$155,118,0)</f>
        <v>0</v>
      </c>
      <c r="AL86" s="23">
        <f t="shared" si="26"/>
        <v>14651.55</v>
      </c>
      <c r="AM86" s="24">
        <f t="shared" si="27"/>
        <v>1758.1859999999999</v>
      </c>
      <c r="AN86" s="24">
        <f t="shared" si="28"/>
        <v>109.886625</v>
      </c>
      <c r="AO86" s="24">
        <f t="shared" si="29"/>
        <v>200</v>
      </c>
      <c r="AP86" s="24">
        <f t="shared" si="16"/>
        <v>1905</v>
      </c>
      <c r="AQ86" s="24">
        <f t="shared" si="17"/>
        <v>476</v>
      </c>
      <c r="AR86" s="24">
        <f t="shared" si="15"/>
        <v>12583.477374999999</v>
      </c>
      <c r="AS86" s="25" t="s">
        <v>63</v>
      </c>
      <c r="AT86" s="26">
        <v>0</v>
      </c>
    </row>
    <row r="87" spans="1:46" ht="30" x14ac:dyDescent="0.25">
      <c r="A87" s="7">
        <v>83</v>
      </c>
      <c r="B87" s="8" t="str">
        <f t="shared" si="18"/>
        <v>CFCP0750</v>
      </c>
      <c r="C87" s="8" t="s">
        <v>64</v>
      </c>
      <c r="D87" s="8" t="s">
        <v>334</v>
      </c>
      <c r="E87" s="9" t="s">
        <v>335</v>
      </c>
      <c r="F87" s="8" t="s">
        <v>239</v>
      </c>
      <c r="G87" s="8" t="s">
        <v>240</v>
      </c>
      <c r="H87" s="10" t="s">
        <v>318</v>
      </c>
      <c r="I87" s="11" t="s">
        <v>58</v>
      </c>
      <c r="J87" s="12">
        <v>45296</v>
      </c>
      <c r="K87" s="13" t="s">
        <v>93</v>
      </c>
      <c r="L87" s="14">
        <v>647702010006555</v>
      </c>
      <c r="M87" s="14" t="s">
        <v>94</v>
      </c>
      <c r="N87" s="14">
        <v>101774052833</v>
      </c>
      <c r="O87" s="13">
        <v>3813010887</v>
      </c>
      <c r="P87" s="15">
        <v>0</v>
      </c>
      <c r="Q87" s="16" t="s">
        <v>62</v>
      </c>
      <c r="R87" s="17">
        <v>489.5</v>
      </c>
      <c r="S87" s="18">
        <f t="shared" si="19"/>
        <v>7342.5</v>
      </c>
      <c r="T87" s="8">
        <v>4</v>
      </c>
      <c r="U87" s="19">
        <v>0</v>
      </c>
      <c r="V87" s="19">
        <v>21</v>
      </c>
      <c r="W87" s="19">
        <v>0</v>
      </c>
      <c r="X87" s="19">
        <v>0</v>
      </c>
      <c r="Y87" s="19">
        <v>0</v>
      </c>
      <c r="Z87" s="19">
        <v>24</v>
      </c>
      <c r="AA87" s="20">
        <f t="shared" si="20"/>
        <v>4</v>
      </c>
      <c r="AB87" s="21">
        <f t="shared" si="21"/>
        <v>28</v>
      </c>
      <c r="AC87" s="22">
        <f t="shared" si="22"/>
        <v>1958</v>
      </c>
      <c r="AD87" s="22">
        <f t="shared" si="23"/>
        <v>0</v>
      </c>
      <c r="AE87" s="18">
        <f t="shared" si="24"/>
        <v>2569.875</v>
      </c>
      <c r="AF87" s="18">
        <v>0</v>
      </c>
      <c r="AG87" s="18">
        <f>VLOOKUP(D87,[2]Sheet1!$B$3:$D$50,3,0)</f>
        <v>22556.6</v>
      </c>
      <c r="AH87" s="23">
        <f t="shared" si="25"/>
        <v>27084.474999999999</v>
      </c>
      <c r="AI87" s="18">
        <v>0</v>
      </c>
      <c r="AJ87" s="18">
        <f>VLOOKUP(D87,[1]Sheet1!$D$6:$DR$155,119,0)</f>
        <v>0</v>
      </c>
      <c r="AK87" s="18">
        <f>VLOOKUP(D87,[1]Sheet1!$D$6:$DQ$155,118,0)</f>
        <v>0</v>
      </c>
      <c r="AL87" s="23">
        <f t="shared" si="26"/>
        <v>27084.474999999999</v>
      </c>
      <c r="AM87" s="24">
        <f t="shared" si="27"/>
        <v>1800</v>
      </c>
      <c r="AN87" s="24">
        <f t="shared" si="28"/>
        <v>203.13356249999998</v>
      </c>
      <c r="AO87" s="24">
        <f t="shared" si="29"/>
        <v>200</v>
      </c>
      <c r="AP87" s="24">
        <f t="shared" si="16"/>
        <v>1950</v>
      </c>
      <c r="AQ87" s="24">
        <f t="shared" si="17"/>
        <v>880</v>
      </c>
      <c r="AR87" s="24">
        <f t="shared" si="15"/>
        <v>24881.341437499999</v>
      </c>
      <c r="AS87" s="25" t="s">
        <v>63</v>
      </c>
      <c r="AT87" s="26">
        <v>0</v>
      </c>
    </row>
    <row r="88" spans="1:46" ht="30" x14ac:dyDescent="0.25">
      <c r="A88" s="7">
        <v>84</v>
      </c>
      <c r="B88" s="8" t="str">
        <f t="shared" si="18"/>
        <v>CFCA0260</v>
      </c>
      <c r="C88" s="8" t="s">
        <v>64</v>
      </c>
      <c r="D88" s="8" t="s">
        <v>336</v>
      </c>
      <c r="E88" s="9" t="s">
        <v>337</v>
      </c>
      <c r="F88" s="8" t="s">
        <v>239</v>
      </c>
      <c r="G88" s="8" t="s">
        <v>245</v>
      </c>
      <c r="H88" s="10" t="s">
        <v>144</v>
      </c>
      <c r="I88" s="11" t="s">
        <v>58</v>
      </c>
      <c r="J88" s="12">
        <v>45069</v>
      </c>
      <c r="K88" s="13" t="s">
        <v>93</v>
      </c>
      <c r="L88" s="14" t="s">
        <v>338</v>
      </c>
      <c r="M88" s="14" t="s">
        <v>94</v>
      </c>
      <c r="N88" s="14">
        <v>101319150950</v>
      </c>
      <c r="O88" s="13">
        <v>3811378600</v>
      </c>
      <c r="P88" s="15">
        <v>0</v>
      </c>
      <c r="Q88" s="16" t="s">
        <v>62</v>
      </c>
      <c r="R88" s="17">
        <v>489.5</v>
      </c>
      <c r="S88" s="18">
        <f t="shared" si="19"/>
        <v>7342.5</v>
      </c>
      <c r="T88" s="8">
        <v>4</v>
      </c>
      <c r="U88" s="19">
        <v>0</v>
      </c>
      <c r="V88" s="19">
        <v>13.5</v>
      </c>
      <c r="W88" s="19">
        <v>0</v>
      </c>
      <c r="X88" s="19">
        <v>0</v>
      </c>
      <c r="Y88" s="19">
        <v>1</v>
      </c>
      <c r="Z88" s="19">
        <v>23</v>
      </c>
      <c r="AA88" s="20">
        <f t="shared" si="20"/>
        <v>4</v>
      </c>
      <c r="AB88" s="21">
        <f t="shared" si="21"/>
        <v>28</v>
      </c>
      <c r="AC88" s="22">
        <f t="shared" si="22"/>
        <v>1958</v>
      </c>
      <c r="AD88" s="22">
        <f t="shared" si="23"/>
        <v>0</v>
      </c>
      <c r="AE88" s="18">
        <f t="shared" si="24"/>
        <v>1652.0625</v>
      </c>
      <c r="AF88" s="18">
        <v>0</v>
      </c>
      <c r="AG88" s="18">
        <f>VLOOKUP(D88,[2]Sheet1!$B$51:$D$61,3,0)</f>
        <v>20799.474999999999</v>
      </c>
      <c r="AH88" s="23">
        <f t="shared" si="25"/>
        <v>24409.537499999999</v>
      </c>
      <c r="AI88" s="18">
        <v>0</v>
      </c>
      <c r="AJ88" s="18">
        <f>VLOOKUP(D88,[1]Sheet1!$D$6:$DR$155,119,0)</f>
        <v>0</v>
      </c>
      <c r="AK88" s="18">
        <f>VLOOKUP(D88,[1]Sheet1!$D$6:$DQ$155,118,0)</f>
        <v>0</v>
      </c>
      <c r="AL88" s="23">
        <f t="shared" si="26"/>
        <v>24409.537499999999</v>
      </c>
      <c r="AM88" s="24">
        <f t="shared" si="27"/>
        <v>1800</v>
      </c>
      <c r="AN88" s="24">
        <f t="shared" si="28"/>
        <v>183.07153124999999</v>
      </c>
      <c r="AO88" s="24">
        <f t="shared" si="29"/>
        <v>200</v>
      </c>
      <c r="AP88" s="24">
        <f t="shared" si="16"/>
        <v>1950</v>
      </c>
      <c r="AQ88" s="24">
        <f t="shared" si="17"/>
        <v>793</v>
      </c>
      <c r="AR88" s="24">
        <f t="shared" si="15"/>
        <v>22226.465968749999</v>
      </c>
      <c r="AS88" s="25" t="s">
        <v>63</v>
      </c>
      <c r="AT88" s="26">
        <v>0</v>
      </c>
    </row>
    <row r="89" spans="1:46" ht="30" x14ac:dyDescent="0.25">
      <c r="A89" s="7">
        <v>85</v>
      </c>
      <c r="B89" s="8" t="str">
        <f t="shared" si="18"/>
        <v>CFCP0730</v>
      </c>
      <c r="C89" s="8" t="s">
        <v>64</v>
      </c>
      <c r="D89" s="8" t="s">
        <v>339</v>
      </c>
      <c r="E89" s="9" t="s">
        <v>340</v>
      </c>
      <c r="F89" s="8" t="s">
        <v>239</v>
      </c>
      <c r="G89" s="8" t="s">
        <v>261</v>
      </c>
      <c r="H89" s="10" t="s">
        <v>68</v>
      </c>
      <c r="I89" s="11" t="s">
        <v>58</v>
      </c>
      <c r="J89" s="12">
        <v>45250</v>
      </c>
      <c r="K89" s="13" t="s">
        <v>93</v>
      </c>
      <c r="L89" s="14" t="s">
        <v>341</v>
      </c>
      <c r="M89" s="14" t="s">
        <v>94</v>
      </c>
      <c r="N89" s="14">
        <v>102021013295</v>
      </c>
      <c r="O89" s="13">
        <v>3812953911</v>
      </c>
      <c r="P89" s="15">
        <v>0</v>
      </c>
      <c r="Q89" s="16" t="s">
        <v>62</v>
      </c>
      <c r="R89" s="17">
        <v>489.5</v>
      </c>
      <c r="S89" s="18">
        <f t="shared" si="19"/>
        <v>7342.5</v>
      </c>
      <c r="T89" s="8">
        <v>7</v>
      </c>
      <c r="U89" s="19">
        <v>0</v>
      </c>
      <c r="V89" s="19">
        <v>22.5</v>
      </c>
      <c r="W89" s="19">
        <v>19</v>
      </c>
      <c r="X89" s="19">
        <v>0</v>
      </c>
      <c r="Y89" s="19">
        <v>2</v>
      </c>
      <c r="Z89" s="19">
        <v>0</v>
      </c>
      <c r="AA89" s="20">
        <f t="shared" si="20"/>
        <v>7</v>
      </c>
      <c r="AB89" s="21">
        <f t="shared" si="21"/>
        <v>28</v>
      </c>
      <c r="AC89" s="22">
        <f t="shared" si="22"/>
        <v>3426.5</v>
      </c>
      <c r="AD89" s="22">
        <f t="shared" si="23"/>
        <v>0</v>
      </c>
      <c r="AE89" s="18">
        <f t="shared" si="24"/>
        <v>2753.4375</v>
      </c>
      <c r="AF89" s="18">
        <v>0</v>
      </c>
      <c r="AG89" s="18">
        <v>0</v>
      </c>
      <c r="AH89" s="23">
        <f t="shared" si="25"/>
        <v>6179.9375</v>
      </c>
      <c r="AI89" s="18">
        <v>0</v>
      </c>
      <c r="AJ89" s="18">
        <f>VLOOKUP(D89,[1]Sheet1!$D$6:$DR$155,119,0)</f>
        <v>0</v>
      </c>
      <c r="AK89" s="18">
        <f>VLOOKUP(D89,[1]Sheet1!$D$6:$DQ$155,118,0)</f>
        <v>0</v>
      </c>
      <c r="AL89" s="23">
        <f t="shared" si="26"/>
        <v>6179.9375</v>
      </c>
      <c r="AM89" s="24">
        <f t="shared" si="27"/>
        <v>741.59249999999997</v>
      </c>
      <c r="AN89" s="24">
        <f t="shared" si="28"/>
        <v>46.349531249999998</v>
      </c>
      <c r="AO89" s="24">
        <f t="shared" si="29"/>
        <v>0</v>
      </c>
      <c r="AP89" s="24">
        <f t="shared" si="16"/>
        <v>803</v>
      </c>
      <c r="AQ89" s="24">
        <f t="shared" si="17"/>
        <v>201</v>
      </c>
      <c r="AR89" s="24">
        <f t="shared" si="15"/>
        <v>5391.9954687500003</v>
      </c>
      <c r="AS89" s="25" t="s">
        <v>63</v>
      </c>
      <c r="AT89" s="26">
        <v>0</v>
      </c>
    </row>
    <row r="90" spans="1:46" ht="30" x14ac:dyDescent="0.25">
      <c r="A90" s="7">
        <v>86</v>
      </c>
      <c r="B90" s="8" t="str">
        <f t="shared" si="18"/>
        <v>CFCP0858</v>
      </c>
      <c r="C90" s="8" t="s">
        <v>64</v>
      </c>
      <c r="D90" s="8" t="s">
        <v>342</v>
      </c>
      <c r="E90" s="9" t="s">
        <v>343</v>
      </c>
      <c r="F90" s="8" t="s">
        <v>239</v>
      </c>
      <c r="G90" s="8" t="s">
        <v>240</v>
      </c>
      <c r="H90" s="10" t="s">
        <v>318</v>
      </c>
      <c r="I90" s="11" t="s">
        <v>58</v>
      </c>
      <c r="J90" s="12">
        <v>45647</v>
      </c>
      <c r="K90" s="13" t="s">
        <v>69</v>
      </c>
      <c r="L90" s="14">
        <v>50100779411954</v>
      </c>
      <c r="M90" s="14" t="s">
        <v>71</v>
      </c>
      <c r="N90" s="14">
        <v>102032435467</v>
      </c>
      <c r="O90" s="13">
        <v>3813341891</v>
      </c>
      <c r="P90" s="15">
        <v>0</v>
      </c>
      <c r="Q90" s="16" t="s">
        <v>62</v>
      </c>
      <c r="R90" s="17">
        <v>489.5</v>
      </c>
      <c r="S90" s="18">
        <f t="shared" si="19"/>
        <v>7342.5</v>
      </c>
      <c r="T90" s="8">
        <v>23</v>
      </c>
      <c r="U90" s="19">
        <v>0</v>
      </c>
      <c r="V90" s="19">
        <v>66</v>
      </c>
      <c r="W90" s="19">
        <v>1</v>
      </c>
      <c r="X90" s="19">
        <v>0</v>
      </c>
      <c r="Y90" s="19">
        <v>4</v>
      </c>
      <c r="Z90" s="19">
        <v>0</v>
      </c>
      <c r="AA90" s="20">
        <f t="shared" si="20"/>
        <v>23</v>
      </c>
      <c r="AB90" s="21">
        <f t="shared" si="21"/>
        <v>28</v>
      </c>
      <c r="AC90" s="22">
        <f t="shared" si="22"/>
        <v>11258.5</v>
      </c>
      <c r="AD90" s="22">
        <f t="shared" si="23"/>
        <v>0</v>
      </c>
      <c r="AE90" s="18">
        <f t="shared" si="24"/>
        <v>8076.75</v>
      </c>
      <c r="AF90" s="18">
        <v>0</v>
      </c>
      <c r="AG90" s="18">
        <v>0</v>
      </c>
      <c r="AH90" s="23">
        <f t="shared" si="25"/>
        <v>19335.25</v>
      </c>
      <c r="AI90" s="18">
        <v>0</v>
      </c>
      <c r="AJ90" s="18">
        <f>VLOOKUP(D90,[1]Sheet1!$D$6:$DR$155,119,0)</f>
        <v>400</v>
      </c>
      <c r="AK90" s="18">
        <f>VLOOKUP(D90,[1]Sheet1!$D$6:$DQ$155,118,0)</f>
        <v>0</v>
      </c>
      <c r="AL90" s="23">
        <f t="shared" si="26"/>
        <v>18935.25</v>
      </c>
      <c r="AM90" s="24">
        <f t="shared" si="27"/>
        <v>1800</v>
      </c>
      <c r="AN90" s="24">
        <f t="shared" si="28"/>
        <v>145.014375</v>
      </c>
      <c r="AO90" s="24">
        <f t="shared" si="29"/>
        <v>200</v>
      </c>
      <c r="AP90" s="24">
        <f t="shared" si="16"/>
        <v>1950</v>
      </c>
      <c r="AQ90" s="24">
        <f t="shared" si="17"/>
        <v>628</v>
      </c>
      <c r="AR90" s="24">
        <f t="shared" si="15"/>
        <v>16790.235625000001</v>
      </c>
      <c r="AS90" s="25" t="s">
        <v>63</v>
      </c>
      <c r="AT90" s="26">
        <v>0</v>
      </c>
    </row>
    <row r="91" spans="1:46" ht="30" x14ac:dyDescent="0.25">
      <c r="A91" s="7">
        <v>87</v>
      </c>
      <c r="B91" s="8" t="str">
        <f t="shared" si="18"/>
        <v>CFCP0743</v>
      </c>
      <c r="C91" s="8" t="s">
        <v>64</v>
      </c>
      <c r="D91" s="8" t="s">
        <v>344</v>
      </c>
      <c r="E91" s="9" t="s">
        <v>345</v>
      </c>
      <c r="F91" s="8" t="s">
        <v>239</v>
      </c>
      <c r="G91" s="8" t="s">
        <v>240</v>
      </c>
      <c r="H91" s="10" t="s">
        <v>346</v>
      </c>
      <c r="I91" s="11" t="s">
        <v>58</v>
      </c>
      <c r="J91" s="12">
        <v>45266</v>
      </c>
      <c r="K91" s="13" t="s">
        <v>155</v>
      </c>
      <c r="L91" s="14" t="s">
        <v>347</v>
      </c>
      <c r="M91" s="14" t="s">
        <v>348</v>
      </c>
      <c r="N91" s="14">
        <v>100507401462</v>
      </c>
      <c r="O91" s="13">
        <v>3813573782</v>
      </c>
      <c r="P91" s="15">
        <v>0</v>
      </c>
      <c r="Q91" s="16" t="s">
        <v>62</v>
      </c>
      <c r="R91" s="17">
        <v>489.5</v>
      </c>
      <c r="S91" s="18">
        <f t="shared" si="19"/>
        <v>7342.5</v>
      </c>
      <c r="T91" s="8">
        <v>11</v>
      </c>
      <c r="U91" s="19">
        <v>0</v>
      </c>
      <c r="V91" s="19">
        <v>26.5</v>
      </c>
      <c r="W91" s="19">
        <v>2</v>
      </c>
      <c r="X91" s="19">
        <v>0</v>
      </c>
      <c r="Y91" s="19">
        <v>2</v>
      </c>
      <c r="Z91" s="19">
        <v>13</v>
      </c>
      <c r="AA91" s="20">
        <f t="shared" si="20"/>
        <v>11</v>
      </c>
      <c r="AB91" s="21">
        <f t="shared" si="21"/>
        <v>28</v>
      </c>
      <c r="AC91" s="22">
        <f t="shared" si="22"/>
        <v>5384.5</v>
      </c>
      <c r="AD91" s="22">
        <f t="shared" si="23"/>
        <v>0</v>
      </c>
      <c r="AE91" s="18">
        <f t="shared" si="24"/>
        <v>3242.9375</v>
      </c>
      <c r="AF91" s="18">
        <v>0</v>
      </c>
      <c r="AG91" s="18">
        <f>VLOOKUP(D91,[2]Sheet1!$B$3:$D$50,3,0)</f>
        <v>11765</v>
      </c>
      <c r="AH91" s="23">
        <f t="shared" si="25"/>
        <v>20392.4375</v>
      </c>
      <c r="AI91" s="18">
        <v>0</v>
      </c>
      <c r="AJ91" s="18">
        <f>VLOOKUP(D91,[1]Sheet1!$D$6:$DR$155,119,0)</f>
        <v>600</v>
      </c>
      <c r="AK91" s="18">
        <f>VLOOKUP(D91,[1]Sheet1!$D$6:$DQ$155,118,0)</f>
        <v>0</v>
      </c>
      <c r="AL91" s="23">
        <f t="shared" si="26"/>
        <v>19792.4375</v>
      </c>
      <c r="AM91" s="24">
        <f t="shared" si="27"/>
        <v>1800</v>
      </c>
      <c r="AN91" s="24">
        <f t="shared" si="28"/>
        <v>152.94328124999998</v>
      </c>
      <c r="AO91" s="24">
        <f t="shared" si="29"/>
        <v>200</v>
      </c>
      <c r="AP91" s="24">
        <f t="shared" si="16"/>
        <v>1950</v>
      </c>
      <c r="AQ91" s="24">
        <f t="shared" si="17"/>
        <v>663</v>
      </c>
      <c r="AR91" s="24">
        <f t="shared" si="15"/>
        <v>17639.494218749998</v>
      </c>
      <c r="AS91" s="25" t="s">
        <v>63</v>
      </c>
      <c r="AT91" s="26">
        <v>0</v>
      </c>
    </row>
    <row r="92" spans="1:46" ht="30" x14ac:dyDescent="0.25">
      <c r="A92" s="7">
        <v>88</v>
      </c>
      <c r="B92" s="8" t="str">
        <f t="shared" si="18"/>
        <v>SHE012</v>
      </c>
      <c r="C92" s="8" t="s">
        <v>52</v>
      </c>
      <c r="D92" s="8" t="s">
        <v>349</v>
      </c>
      <c r="E92" s="9" t="s">
        <v>350</v>
      </c>
      <c r="F92" s="8" t="s">
        <v>239</v>
      </c>
      <c r="G92" s="8" t="s">
        <v>351</v>
      </c>
      <c r="H92" s="10" t="s">
        <v>352</v>
      </c>
      <c r="I92" s="11" t="s">
        <v>58</v>
      </c>
      <c r="J92" s="12">
        <v>43973</v>
      </c>
      <c r="K92" s="13" t="s">
        <v>155</v>
      </c>
      <c r="L92" s="14">
        <v>31420100004981</v>
      </c>
      <c r="M92" s="14" t="s">
        <v>353</v>
      </c>
      <c r="N92" s="14">
        <v>101438656512</v>
      </c>
      <c r="O92" s="13">
        <v>3811763909</v>
      </c>
      <c r="P92" s="15">
        <v>0</v>
      </c>
      <c r="Q92" s="16" t="s">
        <v>62</v>
      </c>
      <c r="R92" s="17">
        <v>489.5</v>
      </c>
      <c r="S92" s="18">
        <f t="shared" si="19"/>
        <v>7342.5</v>
      </c>
      <c r="T92" s="8">
        <v>0</v>
      </c>
      <c r="U92" s="19">
        <v>0</v>
      </c>
      <c r="V92" s="19">
        <v>0</v>
      </c>
      <c r="W92" s="19">
        <v>4</v>
      </c>
      <c r="X92" s="19">
        <v>0</v>
      </c>
      <c r="Y92" s="19">
        <v>1</v>
      </c>
      <c r="Z92" s="19">
        <v>23</v>
      </c>
      <c r="AA92" s="20">
        <f t="shared" si="20"/>
        <v>0</v>
      </c>
      <c r="AB92" s="21">
        <f t="shared" si="21"/>
        <v>28</v>
      </c>
      <c r="AC92" s="22">
        <f t="shared" si="22"/>
        <v>0</v>
      </c>
      <c r="AD92" s="22">
        <f t="shared" si="23"/>
        <v>0</v>
      </c>
      <c r="AE92" s="18">
        <f t="shared" si="24"/>
        <v>0</v>
      </c>
      <c r="AF92" s="18">
        <v>0</v>
      </c>
      <c r="AG92" s="18">
        <f>VLOOKUP(D92,[2]Sheet1!$B$3:$D$50,3,0)</f>
        <v>26322</v>
      </c>
      <c r="AH92" s="23">
        <f t="shared" si="25"/>
        <v>26322</v>
      </c>
      <c r="AI92" s="18">
        <v>0</v>
      </c>
      <c r="AJ92" s="18">
        <f>VLOOKUP(D92,[1]Sheet1!$D$6:$DR$155,119,0)</f>
        <v>0</v>
      </c>
      <c r="AK92" s="18">
        <f>VLOOKUP(D92,[1]Sheet1!$D$6:$DQ$155,118,0)</f>
        <v>0</v>
      </c>
      <c r="AL92" s="23">
        <f t="shared" si="26"/>
        <v>26322</v>
      </c>
      <c r="AM92" s="24">
        <f t="shared" si="27"/>
        <v>1800</v>
      </c>
      <c r="AN92" s="24">
        <f t="shared" si="28"/>
        <v>197.41499999999999</v>
      </c>
      <c r="AO92" s="24">
        <f t="shared" si="29"/>
        <v>200</v>
      </c>
      <c r="AP92" s="24">
        <f t="shared" si="16"/>
        <v>1950</v>
      </c>
      <c r="AQ92" s="24">
        <f t="shared" si="17"/>
        <v>855</v>
      </c>
      <c r="AR92" s="24">
        <f t="shared" si="15"/>
        <v>24124.584999999999</v>
      </c>
      <c r="AS92" s="25" t="s">
        <v>63</v>
      </c>
      <c r="AT92" s="26">
        <v>0</v>
      </c>
    </row>
    <row r="93" spans="1:46" ht="30" x14ac:dyDescent="0.25">
      <c r="A93" s="7">
        <v>89</v>
      </c>
      <c r="B93" s="8" t="str">
        <f t="shared" si="18"/>
        <v>SHE031</v>
      </c>
      <c r="C93" s="8" t="s">
        <v>52</v>
      </c>
      <c r="D93" s="8" t="s">
        <v>354</v>
      </c>
      <c r="E93" s="9" t="s">
        <v>355</v>
      </c>
      <c r="F93" s="8" t="s">
        <v>239</v>
      </c>
      <c r="G93" s="8" t="s">
        <v>245</v>
      </c>
      <c r="H93" s="10" t="s">
        <v>144</v>
      </c>
      <c r="I93" s="11" t="s">
        <v>58</v>
      </c>
      <c r="J93" s="12">
        <v>43986</v>
      </c>
      <c r="K93" s="13" t="s">
        <v>59</v>
      </c>
      <c r="L93" s="14">
        <v>41539051639</v>
      </c>
      <c r="M93" s="14" t="s">
        <v>356</v>
      </c>
      <c r="N93" s="14">
        <v>101260850598</v>
      </c>
      <c r="O93" s="13">
        <v>3811772926</v>
      </c>
      <c r="P93" s="15">
        <v>0</v>
      </c>
      <c r="Q93" s="16" t="s">
        <v>62</v>
      </c>
      <c r="R93" s="17">
        <v>489.5</v>
      </c>
      <c r="S93" s="18">
        <f t="shared" si="19"/>
        <v>7342.5</v>
      </c>
      <c r="T93" s="8">
        <v>17</v>
      </c>
      <c r="U93" s="19">
        <v>0</v>
      </c>
      <c r="V93" s="19">
        <v>45</v>
      </c>
      <c r="W93" s="19">
        <v>8</v>
      </c>
      <c r="X93" s="19">
        <v>0</v>
      </c>
      <c r="Y93" s="19">
        <v>3</v>
      </c>
      <c r="Z93" s="19">
        <v>0</v>
      </c>
      <c r="AA93" s="20">
        <f t="shared" si="20"/>
        <v>17</v>
      </c>
      <c r="AB93" s="21">
        <f t="shared" si="21"/>
        <v>28</v>
      </c>
      <c r="AC93" s="22">
        <f t="shared" si="22"/>
        <v>8321.5</v>
      </c>
      <c r="AD93" s="22">
        <f t="shared" si="23"/>
        <v>0</v>
      </c>
      <c r="AE93" s="18">
        <f t="shared" si="24"/>
        <v>5506.875</v>
      </c>
      <c r="AF93" s="18">
        <v>0</v>
      </c>
      <c r="AG93" s="18">
        <v>0</v>
      </c>
      <c r="AH93" s="23">
        <f t="shared" si="25"/>
        <v>13828.375</v>
      </c>
      <c r="AI93" s="18">
        <v>0</v>
      </c>
      <c r="AJ93" s="18">
        <f>VLOOKUP(D93,[1]Sheet1!$D$6:$DR$155,119,0)</f>
        <v>0</v>
      </c>
      <c r="AK93" s="18">
        <f>VLOOKUP(D93,[1]Sheet1!$D$6:$DQ$155,118,0)</f>
        <v>0</v>
      </c>
      <c r="AL93" s="23">
        <f t="shared" si="26"/>
        <v>13828.375</v>
      </c>
      <c r="AM93" s="24">
        <f t="shared" si="27"/>
        <v>1659.405</v>
      </c>
      <c r="AN93" s="24">
        <f t="shared" si="28"/>
        <v>103.7128125</v>
      </c>
      <c r="AO93" s="24">
        <f t="shared" si="29"/>
        <v>200</v>
      </c>
      <c r="AP93" s="24">
        <f t="shared" si="16"/>
        <v>1798</v>
      </c>
      <c r="AQ93" s="24">
        <f t="shared" si="17"/>
        <v>449</v>
      </c>
      <c r="AR93" s="24">
        <f t="shared" si="15"/>
        <v>11865.257187499999</v>
      </c>
      <c r="AS93" s="25" t="s">
        <v>63</v>
      </c>
      <c r="AT93" s="26">
        <v>0</v>
      </c>
    </row>
    <row r="94" spans="1:46" ht="30" x14ac:dyDescent="0.25">
      <c r="A94" s="7">
        <v>90</v>
      </c>
      <c r="B94" s="8" t="str">
        <f t="shared" si="18"/>
        <v>SHE141</v>
      </c>
      <c r="C94" s="8" t="s">
        <v>52</v>
      </c>
      <c r="D94" s="8" t="s">
        <v>357</v>
      </c>
      <c r="E94" s="9" t="s">
        <v>358</v>
      </c>
      <c r="F94" s="8" t="s">
        <v>239</v>
      </c>
      <c r="G94" s="8" t="s">
        <v>240</v>
      </c>
      <c r="H94" s="10" t="s">
        <v>265</v>
      </c>
      <c r="I94" s="11" t="s">
        <v>58</v>
      </c>
      <c r="J94" s="12">
        <v>44321</v>
      </c>
      <c r="K94" s="13" t="s">
        <v>59</v>
      </c>
      <c r="L94" s="14">
        <v>41539052565</v>
      </c>
      <c r="M94" s="14" t="s">
        <v>126</v>
      </c>
      <c r="N94" s="14">
        <v>101677760672</v>
      </c>
      <c r="O94" s="13">
        <v>3812065877</v>
      </c>
      <c r="P94" s="15">
        <v>0</v>
      </c>
      <c r="Q94" s="16" t="s">
        <v>62</v>
      </c>
      <c r="R94" s="17">
        <v>489.5</v>
      </c>
      <c r="S94" s="18">
        <f t="shared" si="19"/>
        <v>7342.5</v>
      </c>
      <c r="T94" s="8">
        <v>4.5</v>
      </c>
      <c r="U94" s="19">
        <v>0</v>
      </c>
      <c r="V94" s="19">
        <v>1</v>
      </c>
      <c r="W94" s="19">
        <v>6.5</v>
      </c>
      <c r="X94" s="19">
        <v>0</v>
      </c>
      <c r="Y94" s="19">
        <v>4</v>
      </c>
      <c r="Z94" s="19">
        <v>13</v>
      </c>
      <c r="AA94" s="20">
        <f t="shared" si="20"/>
        <v>4.5</v>
      </c>
      <c r="AB94" s="21">
        <f t="shared" si="21"/>
        <v>28</v>
      </c>
      <c r="AC94" s="22">
        <f t="shared" si="22"/>
        <v>2202.75</v>
      </c>
      <c r="AD94" s="22">
        <f t="shared" si="23"/>
        <v>0</v>
      </c>
      <c r="AE94" s="18">
        <f t="shared" si="24"/>
        <v>122.375</v>
      </c>
      <c r="AF94" s="18">
        <v>0</v>
      </c>
      <c r="AG94" s="18">
        <f>VLOOKUP(D94,[2]Sheet1!$B$3:$D$50,3,0)</f>
        <v>10437.5</v>
      </c>
      <c r="AH94" s="23">
        <f t="shared" si="25"/>
        <v>12762.625</v>
      </c>
      <c r="AI94" s="18">
        <v>0</v>
      </c>
      <c r="AJ94" s="18">
        <f>VLOOKUP(D94,[1]Sheet1!$D$6:$DR$155,119,0)</f>
        <v>0</v>
      </c>
      <c r="AK94" s="18">
        <f>VLOOKUP(D94,[1]Sheet1!$D$6:$DQ$155,118,0)</f>
        <v>0</v>
      </c>
      <c r="AL94" s="23">
        <f t="shared" si="26"/>
        <v>12762.625</v>
      </c>
      <c r="AM94" s="24">
        <f t="shared" si="27"/>
        <v>1531.5149999999999</v>
      </c>
      <c r="AN94" s="24">
        <f t="shared" si="28"/>
        <v>95.719687499999992</v>
      </c>
      <c r="AO94" s="24">
        <f t="shared" si="29"/>
        <v>200</v>
      </c>
      <c r="AP94" s="24">
        <f t="shared" si="16"/>
        <v>1659</v>
      </c>
      <c r="AQ94" s="24">
        <f t="shared" si="17"/>
        <v>415</v>
      </c>
      <c r="AR94" s="24">
        <f t="shared" si="15"/>
        <v>10935.3903125</v>
      </c>
      <c r="AS94" s="25" t="s">
        <v>63</v>
      </c>
      <c r="AT94" s="26">
        <v>0</v>
      </c>
    </row>
    <row r="95" spans="1:46" ht="30" x14ac:dyDescent="0.25">
      <c r="A95" s="7">
        <v>91</v>
      </c>
      <c r="B95" s="8" t="str">
        <f t="shared" si="18"/>
        <v>SHE178</v>
      </c>
      <c r="C95" s="8" t="s">
        <v>52</v>
      </c>
      <c r="D95" s="8" t="s">
        <v>359</v>
      </c>
      <c r="E95" s="9" t="s">
        <v>360</v>
      </c>
      <c r="F95" s="8" t="s">
        <v>239</v>
      </c>
      <c r="G95" s="8" t="s">
        <v>351</v>
      </c>
      <c r="H95" s="10" t="s">
        <v>352</v>
      </c>
      <c r="I95" s="11" t="s">
        <v>58</v>
      </c>
      <c r="J95" s="12">
        <v>44715</v>
      </c>
      <c r="K95" s="13" t="s">
        <v>59</v>
      </c>
      <c r="L95" s="14">
        <v>37128515491</v>
      </c>
      <c r="M95" s="14" t="s">
        <v>140</v>
      </c>
      <c r="N95" s="14">
        <v>101833327337</v>
      </c>
      <c r="O95" s="13">
        <v>3812455369</v>
      </c>
      <c r="P95" s="15">
        <v>0</v>
      </c>
      <c r="Q95" s="16" t="s">
        <v>62</v>
      </c>
      <c r="R95" s="17">
        <v>489.5</v>
      </c>
      <c r="S95" s="18">
        <f t="shared" si="19"/>
        <v>7342.5</v>
      </c>
      <c r="T95" s="8">
        <v>0</v>
      </c>
      <c r="U95" s="19">
        <v>0</v>
      </c>
      <c r="V95" s="19">
        <v>0</v>
      </c>
      <c r="W95" s="19">
        <v>2</v>
      </c>
      <c r="X95" s="19">
        <v>0</v>
      </c>
      <c r="Y95" s="19">
        <v>4</v>
      </c>
      <c r="Z95" s="19">
        <v>22</v>
      </c>
      <c r="AA95" s="20">
        <f t="shared" si="20"/>
        <v>0</v>
      </c>
      <c r="AB95" s="21">
        <f t="shared" si="21"/>
        <v>28</v>
      </c>
      <c r="AC95" s="22">
        <f t="shared" si="22"/>
        <v>0</v>
      </c>
      <c r="AD95" s="22">
        <f t="shared" si="23"/>
        <v>0</v>
      </c>
      <c r="AE95" s="18">
        <f t="shared" si="24"/>
        <v>0</v>
      </c>
      <c r="AF95" s="18">
        <v>0</v>
      </c>
      <c r="AG95" s="18">
        <f>VLOOKUP(D95,[2]Sheet1!$B$3:$D$50,3,0)</f>
        <v>19306.650000000001</v>
      </c>
      <c r="AH95" s="23">
        <f t="shared" si="25"/>
        <v>19306.650000000001</v>
      </c>
      <c r="AI95" s="18">
        <v>0</v>
      </c>
      <c r="AJ95" s="18">
        <f>VLOOKUP(D95,[1]Sheet1!$D$6:$DR$155,119,0)</f>
        <v>0</v>
      </c>
      <c r="AK95" s="18">
        <f>VLOOKUP(D95,[1]Sheet1!$D$6:$DQ$155,118,0)</f>
        <v>0</v>
      </c>
      <c r="AL95" s="23">
        <f t="shared" si="26"/>
        <v>19306.650000000001</v>
      </c>
      <c r="AM95" s="24">
        <f t="shared" si="27"/>
        <v>1800</v>
      </c>
      <c r="AN95" s="24">
        <f t="shared" si="28"/>
        <v>144.79987500000001</v>
      </c>
      <c r="AO95" s="24">
        <f t="shared" si="29"/>
        <v>200</v>
      </c>
      <c r="AP95" s="24">
        <f t="shared" si="16"/>
        <v>1950</v>
      </c>
      <c r="AQ95" s="24">
        <f t="shared" si="17"/>
        <v>627</v>
      </c>
      <c r="AR95" s="24">
        <f t="shared" si="15"/>
        <v>17161.850125000001</v>
      </c>
      <c r="AS95" s="25" t="s">
        <v>63</v>
      </c>
      <c r="AT95" s="26">
        <v>0</v>
      </c>
    </row>
    <row r="96" spans="1:46" ht="30" x14ac:dyDescent="0.25">
      <c r="A96" s="7">
        <v>92</v>
      </c>
      <c r="B96" s="8" t="str">
        <f t="shared" si="18"/>
        <v>SHE294</v>
      </c>
      <c r="C96" s="8" t="s">
        <v>52</v>
      </c>
      <c r="D96" s="8" t="s">
        <v>361</v>
      </c>
      <c r="E96" s="9" t="s">
        <v>362</v>
      </c>
      <c r="F96" s="8" t="s">
        <v>239</v>
      </c>
      <c r="G96" s="8" t="s">
        <v>261</v>
      </c>
      <c r="H96" s="10" t="s">
        <v>308</v>
      </c>
      <c r="I96" s="11" t="s">
        <v>58</v>
      </c>
      <c r="J96" s="12">
        <v>45231</v>
      </c>
      <c r="K96" s="13" t="s">
        <v>59</v>
      </c>
      <c r="L96" s="14">
        <v>42601815272</v>
      </c>
      <c r="M96" s="14" t="s">
        <v>126</v>
      </c>
      <c r="N96" s="14">
        <v>101228220483</v>
      </c>
      <c r="O96" s="13">
        <v>3812813636</v>
      </c>
      <c r="P96" s="15">
        <v>0</v>
      </c>
      <c r="Q96" s="16" t="s">
        <v>62</v>
      </c>
      <c r="R96" s="17">
        <v>489.5</v>
      </c>
      <c r="S96" s="18">
        <f t="shared" si="19"/>
        <v>7342.5</v>
      </c>
      <c r="T96" s="8">
        <v>1</v>
      </c>
      <c r="U96" s="19">
        <v>0</v>
      </c>
      <c r="V96" s="19">
        <v>0</v>
      </c>
      <c r="W96" s="19">
        <v>26</v>
      </c>
      <c r="X96" s="19">
        <v>0</v>
      </c>
      <c r="Y96" s="19">
        <v>1</v>
      </c>
      <c r="Z96" s="19">
        <v>0</v>
      </c>
      <c r="AA96" s="20">
        <f t="shared" si="20"/>
        <v>1</v>
      </c>
      <c r="AB96" s="21">
        <f t="shared" si="21"/>
        <v>28</v>
      </c>
      <c r="AC96" s="22">
        <f t="shared" si="22"/>
        <v>489.5</v>
      </c>
      <c r="AD96" s="22">
        <f t="shared" si="23"/>
        <v>0</v>
      </c>
      <c r="AE96" s="18">
        <f t="shared" si="24"/>
        <v>0</v>
      </c>
      <c r="AF96" s="18">
        <v>0</v>
      </c>
      <c r="AG96" s="18">
        <v>0</v>
      </c>
      <c r="AH96" s="23">
        <f t="shared" si="25"/>
        <v>489.5</v>
      </c>
      <c r="AI96" s="18">
        <v>0</v>
      </c>
      <c r="AJ96" s="18">
        <f>VLOOKUP(D96,[1]Sheet1!$D$6:$DR$155,119,0)</f>
        <v>0</v>
      </c>
      <c r="AK96" s="18">
        <f>VLOOKUP(D96,[1]Sheet1!$D$6:$DQ$155,118,0)</f>
        <v>0</v>
      </c>
      <c r="AL96" s="23">
        <f t="shared" si="26"/>
        <v>489.5</v>
      </c>
      <c r="AM96" s="24">
        <f t="shared" si="27"/>
        <v>58.739999999999995</v>
      </c>
      <c r="AN96" s="24">
        <f t="shared" si="28"/>
        <v>3.6712499999999997</v>
      </c>
      <c r="AO96" s="24">
        <f t="shared" si="29"/>
        <v>0</v>
      </c>
      <c r="AP96" s="24">
        <f t="shared" si="16"/>
        <v>64</v>
      </c>
      <c r="AQ96" s="24">
        <f t="shared" si="17"/>
        <v>16</v>
      </c>
      <c r="AR96" s="24">
        <f t="shared" si="15"/>
        <v>427.08875</v>
      </c>
      <c r="AS96" s="25" t="s">
        <v>63</v>
      </c>
      <c r="AT96" s="26">
        <v>0</v>
      </c>
    </row>
    <row r="97" spans="1:46" ht="30" x14ac:dyDescent="0.25">
      <c r="A97" s="7">
        <v>93</v>
      </c>
      <c r="B97" s="8" t="str">
        <f t="shared" si="18"/>
        <v>SHE320</v>
      </c>
      <c r="C97" s="8" t="s">
        <v>52</v>
      </c>
      <c r="D97" s="8" t="s">
        <v>363</v>
      </c>
      <c r="E97" s="9" t="s">
        <v>364</v>
      </c>
      <c r="F97" s="8" t="s">
        <v>239</v>
      </c>
      <c r="G97" s="8" t="s">
        <v>261</v>
      </c>
      <c r="H97" s="10" t="s">
        <v>308</v>
      </c>
      <c r="I97" s="11" t="s">
        <v>58</v>
      </c>
      <c r="J97" s="12">
        <v>45342</v>
      </c>
      <c r="K97" s="13" t="s">
        <v>59</v>
      </c>
      <c r="L97" s="14">
        <v>43166947850</v>
      </c>
      <c r="M97" s="14" t="s">
        <v>126</v>
      </c>
      <c r="N97" s="14">
        <v>102050151196</v>
      </c>
      <c r="O97" s="13">
        <v>3813044308</v>
      </c>
      <c r="P97" s="15">
        <v>0</v>
      </c>
      <c r="Q97" s="16" t="s">
        <v>62</v>
      </c>
      <c r="R97" s="17">
        <v>489.5</v>
      </c>
      <c r="S97" s="18">
        <f t="shared" si="19"/>
        <v>7342.5</v>
      </c>
      <c r="T97" s="8">
        <v>19.5</v>
      </c>
      <c r="U97" s="19">
        <v>0</v>
      </c>
      <c r="V97" s="19">
        <v>0</v>
      </c>
      <c r="W97" s="19">
        <v>4.5</v>
      </c>
      <c r="X97" s="19">
        <v>0</v>
      </c>
      <c r="Y97" s="19">
        <v>4</v>
      </c>
      <c r="Z97" s="19">
        <v>0</v>
      </c>
      <c r="AA97" s="20">
        <f t="shared" si="20"/>
        <v>19.5</v>
      </c>
      <c r="AB97" s="21">
        <f t="shared" si="21"/>
        <v>28</v>
      </c>
      <c r="AC97" s="22">
        <f t="shared" si="22"/>
        <v>9545.25</v>
      </c>
      <c r="AD97" s="22">
        <f t="shared" si="23"/>
        <v>0</v>
      </c>
      <c r="AE97" s="18">
        <f t="shared" si="24"/>
        <v>0</v>
      </c>
      <c r="AF97" s="18">
        <v>0</v>
      </c>
      <c r="AG97" s="18">
        <v>0</v>
      </c>
      <c r="AH97" s="23">
        <f t="shared" si="25"/>
        <v>9545.25</v>
      </c>
      <c r="AI97" s="18">
        <v>0</v>
      </c>
      <c r="AJ97" s="18">
        <f>VLOOKUP(D97,[1]Sheet1!$D$6:$DR$155,119,0)</f>
        <v>0</v>
      </c>
      <c r="AK97" s="18">
        <f>VLOOKUP(D97,[1]Sheet1!$D$6:$DQ$155,118,0)</f>
        <v>0</v>
      </c>
      <c r="AL97" s="23">
        <f t="shared" si="26"/>
        <v>9545.25</v>
      </c>
      <c r="AM97" s="24">
        <f t="shared" si="27"/>
        <v>1145.43</v>
      </c>
      <c r="AN97" s="24">
        <f t="shared" si="28"/>
        <v>71.589375000000004</v>
      </c>
      <c r="AO97" s="24">
        <f t="shared" si="29"/>
        <v>0</v>
      </c>
      <c r="AP97" s="24">
        <f t="shared" si="16"/>
        <v>1241</v>
      </c>
      <c r="AQ97" s="24">
        <f t="shared" si="17"/>
        <v>310</v>
      </c>
      <c r="AR97" s="24">
        <f t="shared" ref="AR97:AR154" si="30">AH97-SUM(AI97:AK97)-SUM(AM97:AO97)</f>
        <v>8328.2306250000001</v>
      </c>
      <c r="AS97" s="25" t="s">
        <v>63</v>
      </c>
      <c r="AT97" s="26">
        <v>0</v>
      </c>
    </row>
    <row r="98" spans="1:46" ht="30" x14ac:dyDescent="0.25">
      <c r="A98" s="7">
        <v>94</v>
      </c>
      <c r="B98" s="8" t="str">
        <f t="shared" si="18"/>
        <v>SHE328</v>
      </c>
      <c r="C98" s="8" t="s">
        <v>52</v>
      </c>
      <c r="D98" s="8" t="s">
        <v>365</v>
      </c>
      <c r="E98" s="9" t="s">
        <v>366</v>
      </c>
      <c r="F98" s="8" t="s">
        <v>239</v>
      </c>
      <c r="G98" s="8" t="s">
        <v>245</v>
      </c>
      <c r="H98" s="10" t="s">
        <v>300</v>
      </c>
      <c r="I98" s="11" t="s">
        <v>58</v>
      </c>
      <c r="J98" s="12">
        <v>45370</v>
      </c>
      <c r="K98" s="13" t="s">
        <v>59</v>
      </c>
      <c r="L98" s="14">
        <v>43166947475</v>
      </c>
      <c r="M98" s="14" t="s">
        <v>126</v>
      </c>
      <c r="N98" s="14">
        <v>102060284117</v>
      </c>
      <c r="O98" s="13">
        <v>3813070177</v>
      </c>
      <c r="P98" s="15">
        <v>0</v>
      </c>
      <c r="Q98" s="16" t="s">
        <v>62</v>
      </c>
      <c r="R98" s="17">
        <v>489.5</v>
      </c>
      <c r="S98" s="18">
        <f t="shared" si="19"/>
        <v>7342.5</v>
      </c>
      <c r="T98" s="8">
        <v>21.5</v>
      </c>
      <c r="U98" s="19">
        <v>0</v>
      </c>
      <c r="V98" s="19">
        <v>35</v>
      </c>
      <c r="W98" s="19">
        <v>2.5</v>
      </c>
      <c r="X98" s="19">
        <v>0</v>
      </c>
      <c r="Y98" s="19">
        <v>4</v>
      </c>
      <c r="Z98" s="19">
        <v>0</v>
      </c>
      <c r="AA98" s="20">
        <f t="shared" si="20"/>
        <v>21.5</v>
      </c>
      <c r="AB98" s="21">
        <f t="shared" si="21"/>
        <v>28</v>
      </c>
      <c r="AC98" s="22">
        <f t="shared" si="22"/>
        <v>10524.25</v>
      </c>
      <c r="AD98" s="22">
        <f t="shared" si="23"/>
        <v>0</v>
      </c>
      <c r="AE98" s="18">
        <f t="shared" si="24"/>
        <v>4283.125</v>
      </c>
      <c r="AF98" s="18">
        <v>0</v>
      </c>
      <c r="AG98" s="18">
        <v>0</v>
      </c>
      <c r="AH98" s="23">
        <f t="shared" si="25"/>
        <v>14807.375</v>
      </c>
      <c r="AI98" s="18">
        <v>0</v>
      </c>
      <c r="AJ98" s="18">
        <f>VLOOKUP(D98,[1]Sheet1!$D$6:$DR$155,119,0)</f>
        <v>0</v>
      </c>
      <c r="AK98" s="18">
        <f>VLOOKUP(D98,[1]Sheet1!$D$6:$DQ$155,118,0)</f>
        <v>0</v>
      </c>
      <c r="AL98" s="23">
        <f t="shared" si="26"/>
        <v>14807.375</v>
      </c>
      <c r="AM98" s="24">
        <f t="shared" si="27"/>
        <v>1776.885</v>
      </c>
      <c r="AN98" s="24">
        <f t="shared" si="28"/>
        <v>111.0553125</v>
      </c>
      <c r="AO98" s="24">
        <f t="shared" si="29"/>
        <v>200</v>
      </c>
      <c r="AP98" s="24">
        <f t="shared" si="16"/>
        <v>1925</v>
      </c>
      <c r="AQ98" s="24">
        <f t="shared" si="17"/>
        <v>481</v>
      </c>
      <c r="AR98" s="24">
        <f t="shared" si="30"/>
        <v>12719.434687500001</v>
      </c>
      <c r="AS98" s="25" t="s">
        <v>63</v>
      </c>
      <c r="AT98" s="26">
        <v>0</v>
      </c>
    </row>
    <row r="99" spans="1:46" ht="30" x14ac:dyDescent="0.25">
      <c r="A99" s="7">
        <v>95</v>
      </c>
      <c r="B99" s="8" t="str">
        <f t="shared" si="18"/>
        <v>SHE198</v>
      </c>
      <c r="C99" s="8" t="s">
        <v>52</v>
      </c>
      <c r="D99" s="8" t="s">
        <v>367</v>
      </c>
      <c r="E99" s="9" t="s">
        <v>368</v>
      </c>
      <c r="F99" s="8" t="s">
        <v>239</v>
      </c>
      <c r="G99" s="8" t="s">
        <v>240</v>
      </c>
      <c r="H99" s="10" t="s">
        <v>265</v>
      </c>
      <c r="I99" s="11" t="s">
        <v>58</v>
      </c>
      <c r="J99" s="12">
        <v>45811</v>
      </c>
      <c r="K99" s="13" t="s">
        <v>59</v>
      </c>
      <c r="L99" s="14">
        <v>41352826600</v>
      </c>
      <c r="M99" s="14" t="s">
        <v>122</v>
      </c>
      <c r="N99" s="14">
        <v>101853678897</v>
      </c>
      <c r="O99" s="13">
        <v>3812490689</v>
      </c>
      <c r="P99" s="15">
        <v>0</v>
      </c>
      <c r="Q99" s="16" t="s">
        <v>62</v>
      </c>
      <c r="R99" s="17">
        <v>489.5</v>
      </c>
      <c r="S99" s="18">
        <f t="shared" si="19"/>
        <v>7342.5</v>
      </c>
      <c r="T99" s="8">
        <v>19.5</v>
      </c>
      <c r="U99" s="19">
        <v>0</v>
      </c>
      <c r="V99" s="19">
        <v>0</v>
      </c>
      <c r="W99" s="19">
        <v>4.5</v>
      </c>
      <c r="X99" s="19">
        <v>0</v>
      </c>
      <c r="Y99" s="19">
        <v>4</v>
      </c>
      <c r="Z99" s="19">
        <v>0</v>
      </c>
      <c r="AA99" s="20">
        <f t="shared" si="20"/>
        <v>19.5</v>
      </c>
      <c r="AB99" s="21">
        <f t="shared" si="21"/>
        <v>28</v>
      </c>
      <c r="AC99" s="22">
        <f t="shared" si="22"/>
        <v>9545.25</v>
      </c>
      <c r="AD99" s="22">
        <f t="shared" si="23"/>
        <v>0</v>
      </c>
      <c r="AE99" s="18">
        <f t="shared" si="24"/>
        <v>0</v>
      </c>
      <c r="AF99" s="18">
        <v>0</v>
      </c>
      <c r="AG99" s="18">
        <v>0</v>
      </c>
      <c r="AH99" s="23">
        <f t="shared" ref="AH99:AH107" si="31">SUM(AC99:AG99)</f>
        <v>9545.25</v>
      </c>
      <c r="AI99" s="18">
        <v>0</v>
      </c>
      <c r="AJ99" s="18">
        <f>VLOOKUP(D99,[1]Sheet1!$D$6:$DR$155,119,0)</f>
        <v>0</v>
      </c>
      <c r="AK99" s="18">
        <f>VLOOKUP(D99,[1]Sheet1!$D$6:$DQ$155,118,0)</f>
        <v>0</v>
      </c>
      <c r="AL99" s="23">
        <f t="shared" si="26"/>
        <v>9545.25</v>
      </c>
      <c r="AM99" s="24">
        <f t="shared" si="27"/>
        <v>1145.43</v>
      </c>
      <c r="AN99" s="24">
        <f t="shared" si="28"/>
        <v>71.589375000000004</v>
      </c>
      <c r="AO99" s="24">
        <f t="shared" si="29"/>
        <v>0</v>
      </c>
      <c r="AP99" s="24">
        <f t="shared" si="16"/>
        <v>1241</v>
      </c>
      <c r="AQ99" s="24">
        <f t="shared" si="17"/>
        <v>310</v>
      </c>
      <c r="AR99" s="24">
        <f t="shared" si="30"/>
        <v>8328.2306250000001</v>
      </c>
      <c r="AS99" s="25" t="s">
        <v>63</v>
      </c>
      <c r="AT99" s="26">
        <v>0</v>
      </c>
    </row>
    <row r="100" spans="1:46" ht="30" x14ac:dyDescent="0.25">
      <c r="A100" s="7">
        <v>96</v>
      </c>
      <c r="B100" s="8" t="str">
        <f t="shared" si="18"/>
        <v>SHE355</v>
      </c>
      <c r="C100" s="8" t="s">
        <v>64</v>
      </c>
      <c r="D100" s="8" t="s">
        <v>369</v>
      </c>
      <c r="E100" s="9" t="s">
        <v>370</v>
      </c>
      <c r="F100" s="8" t="s">
        <v>239</v>
      </c>
      <c r="G100" s="8" t="s">
        <v>245</v>
      </c>
      <c r="H100" s="10" t="s">
        <v>265</v>
      </c>
      <c r="I100" s="11" t="s">
        <v>58</v>
      </c>
      <c r="J100" s="12">
        <v>45933</v>
      </c>
      <c r="K100" s="13" t="s">
        <v>155</v>
      </c>
      <c r="L100" s="14" t="s">
        <v>371</v>
      </c>
      <c r="M100" s="14" t="s">
        <v>372</v>
      </c>
      <c r="N100" s="14">
        <v>101861968294</v>
      </c>
      <c r="O100" s="13">
        <v>3813606197</v>
      </c>
      <c r="P100" s="15">
        <v>0</v>
      </c>
      <c r="Q100" s="16" t="s">
        <v>62</v>
      </c>
      <c r="R100" s="17">
        <v>489.5</v>
      </c>
      <c r="S100" s="18">
        <f t="shared" si="19"/>
        <v>7342.5</v>
      </c>
      <c r="T100" s="8">
        <v>22</v>
      </c>
      <c r="U100" s="19">
        <v>0</v>
      </c>
      <c r="V100" s="19">
        <v>44</v>
      </c>
      <c r="W100" s="19">
        <v>2</v>
      </c>
      <c r="X100" s="19">
        <v>0</v>
      </c>
      <c r="Y100" s="19">
        <v>4</v>
      </c>
      <c r="Z100" s="19">
        <v>0</v>
      </c>
      <c r="AA100" s="20">
        <f t="shared" si="20"/>
        <v>22</v>
      </c>
      <c r="AB100" s="21">
        <f t="shared" si="21"/>
        <v>28</v>
      </c>
      <c r="AC100" s="22">
        <f t="shared" si="22"/>
        <v>10769</v>
      </c>
      <c r="AD100" s="22">
        <f t="shared" si="23"/>
        <v>0</v>
      </c>
      <c r="AE100" s="18">
        <f t="shared" si="24"/>
        <v>5384.5</v>
      </c>
      <c r="AF100" s="18">
        <v>0</v>
      </c>
      <c r="AG100" s="18">
        <v>0</v>
      </c>
      <c r="AH100" s="23">
        <f t="shared" si="31"/>
        <v>16153.5</v>
      </c>
      <c r="AI100" s="18">
        <v>0</v>
      </c>
      <c r="AJ100" s="18">
        <f>VLOOKUP(D100,[1]Sheet1!$D$6:$DR$155,119,0)</f>
        <v>500</v>
      </c>
      <c r="AK100" s="18">
        <f>VLOOKUP(D100,[1]Sheet1!$D$6:$DQ$155,118,0)</f>
        <v>0</v>
      </c>
      <c r="AL100" s="23">
        <f t="shared" si="26"/>
        <v>15653.5</v>
      </c>
      <c r="AM100" s="24">
        <f t="shared" si="27"/>
        <v>1800</v>
      </c>
      <c r="AN100" s="24">
        <f t="shared" si="28"/>
        <v>121.15124999999999</v>
      </c>
      <c r="AO100" s="24">
        <f t="shared" si="29"/>
        <v>200</v>
      </c>
      <c r="AP100" s="24">
        <f t="shared" si="16"/>
        <v>1950</v>
      </c>
      <c r="AQ100" s="24">
        <f t="shared" si="17"/>
        <v>525</v>
      </c>
      <c r="AR100" s="24">
        <f t="shared" si="30"/>
        <v>13532.348750000001</v>
      </c>
      <c r="AS100" s="25" t="s">
        <v>63</v>
      </c>
      <c r="AT100" s="26">
        <v>0</v>
      </c>
    </row>
    <row r="101" spans="1:46" ht="30" x14ac:dyDescent="0.25">
      <c r="A101" s="7">
        <v>97</v>
      </c>
      <c r="B101" s="8" t="str">
        <f t="shared" si="18"/>
        <v>CFCP0839</v>
      </c>
      <c r="C101" s="8" t="s">
        <v>64</v>
      </c>
      <c r="D101" s="8" t="s">
        <v>373</v>
      </c>
      <c r="E101" s="9" t="s">
        <v>374</v>
      </c>
      <c r="F101" s="8" t="s">
        <v>239</v>
      </c>
      <c r="G101" s="8" t="s">
        <v>240</v>
      </c>
      <c r="H101" s="10" t="s">
        <v>265</v>
      </c>
      <c r="I101" s="11" t="s">
        <v>58</v>
      </c>
      <c r="J101" s="12">
        <v>45010</v>
      </c>
      <c r="K101" s="13" t="s">
        <v>69</v>
      </c>
      <c r="L101" s="14">
        <v>50100750889651</v>
      </c>
      <c r="M101" s="14" t="s">
        <v>71</v>
      </c>
      <c r="N101" s="14">
        <v>102136157198</v>
      </c>
      <c r="O101" s="13">
        <v>3813287284</v>
      </c>
      <c r="P101" s="15">
        <v>0</v>
      </c>
      <c r="Q101" s="16" t="s">
        <v>62</v>
      </c>
      <c r="R101" s="17">
        <v>489.5</v>
      </c>
      <c r="S101" s="18">
        <f t="shared" si="19"/>
        <v>7342.5</v>
      </c>
      <c r="T101" s="8">
        <v>23.5</v>
      </c>
      <c r="U101" s="19">
        <v>0</v>
      </c>
      <c r="V101" s="19">
        <v>58</v>
      </c>
      <c r="W101" s="19">
        <v>0.5</v>
      </c>
      <c r="X101" s="19">
        <v>0</v>
      </c>
      <c r="Y101" s="19">
        <v>4</v>
      </c>
      <c r="Z101" s="19">
        <v>0</v>
      </c>
      <c r="AA101" s="20">
        <f t="shared" si="20"/>
        <v>23.5</v>
      </c>
      <c r="AB101" s="21">
        <f t="shared" si="21"/>
        <v>28</v>
      </c>
      <c r="AC101" s="22">
        <f t="shared" si="22"/>
        <v>11503.25</v>
      </c>
      <c r="AD101" s="22">
        <f t="shared" si="23"/>
        <v>0</v>
      </c>
      <c r="AE101" s="18">
        <f t="shared" si="24"/>
        <v>7097.75</v>
      </c>
      <c r="AF101" s="18">
        <v>0</v>
      </c>
      <c r="AG101" s="18">
        <v>0</v>
      </c>
      <c r="AH101" s="23">
        <f t="shared" si="31"/>
        <v>18601</v>
      </c>
      <c r="AI101" s="18">
        <v>0</v>
      </c>
      <c r="AJ101" s="18">
        <f>VLOOKUP(D101,[1]Sheet1!$D$6:$DR$155,119,0)</f>
        <v>0</v>
      </c>
      <c r="AK101" s="18">
        <f>VLOOKUP(D101,[1]Sheet1!$D$6:$DQ$155,118,0)</f>
        <v>0</v>
      </c>
      <c r="AL101" s="23">
        <f t="shared" si="26"/>
        <v>18601</v>
      </c>
      <c r="AM101" s="24">
        <f t="shared" si="27"/>
        <v>1800</v>
      </c>
      <c r="AN101" s="24">
        <f t="shared" si="28"/>
        <v>139.50749999999999</v>
      </c>
      <c r="AO101" s="24">
        <f t="shared" si="29"/>
        <v>200</v>
      </c>
      <c r="AP101" s="24">
        <f t="shared" si="16"/>
        <v>1950</v>
      </c>
      <c r="AQ101" s="24">
        <f t="shared" si="17"/>
        <v>605</v>
      </c>
      <c r="AR101" s="24">
        <f t="shared" si="30"/>
        <v>16461.4925</v>
      </c>
      <c r="AS101" s="25" t="s">
        <v>63</v>
      </c>
      <c r="AT101" s="26">
        <v>0</v>
      </c>
    </row>
    <row r="102" spans="1:46" ht="30" x14ac:dyDescent="0.25">
      <c r="A102" s="7">
        <v>98</v>
      </c>
      <c r="B102" s="8" t="str">
        <f t="shared" si="18"/>
        <v>CFCP0836</v>
      </c>
      <c r="C102" s="8" t="s">
        <v>64</v>
      </c>
      <c r="D102" s="8" t="s">
        <v>375</v>
      </c>
      <c r="E102" s="9" t="s">
        <v>376</v>
      </c>
      <c r="F102" s="8" t="s">
        <v>239</v>
      </c>
      <c r="G102" s="8" t="s">
        <v>240</v>
      </c>
      <c r="H102" s="10" t="s">
        <v>265</v>
      </c>
      <c r="I102" s="11" t="s">
        <v>58</v>
      </c>
      <c r="J102" s="12">
        <v>45536</v>
      </c>
      <c r="K102" s="13" t="s">
        <v>69</v>
      </c>
      <c r="L102" s="14" t="s">
        <v>377</v>
      </c>
      <c r="M102" s="14" t="s">
        <v>71</v>
      </c>
      <c r="N102" s="14">
        <v>101557866437</v>
      </c>
      <c r="O102" s="13">
        <v>3813287287</v>
      </c>
      <c r="P102" s="15">
        <v>0</v>
      </c>
      <c r="Q102" s="16" t="s">
        <v>62</v>
      </c>
      <c r="R102" s="17">
        <v>489.5</v>
      </c>
      <c r="S102" s="18">
        <f t="shared" si="19"/>
        <v>7342.5</v>
      </c>
      <c r="T102" s="8">
        <v>2</v>
      </c>
      <c r="U102" s="19">
        <v>0</v>
      </c>
      <c r="V102" s="19">
        <v>4.5</v>
      </c>
      <c r="W102" s="19">
        <v>16</v>
      </c>
      <c r="X102" s="19">
        <v>0</v>
      </c>
      <c r="Y102" s="19">
        <v>1</v>
      </c>
      <c r="Z102" s="19">
        <v>9</v>
      </c>
      <c r="AA102" s="20">
        <f t="shared" si="20"/>
        <v>2</v>
      </c>
      <c r="AB102" s="21">
        <f t="shared" si="21"/>
        <v>28</v>
      </c>
      <c r="AC102" s="22">
        <f t="shared" si="22"/>
        <v>979</v>
      </c>
      <c r="AD102" s="22">
        <f t="shared" si="23"/>
        <v>0</v>
      </c>
      <c r="AE102" s="18">
        <f t="shared" si="24"/>
        <v>550.6875</v>
      </c>
      <c r="AF102" s="18">
        <v>0</v>
      </c>
      <c r="AG102" s="18">
        <f>VLOOKUP(D102,[2]Sheet1!$B$3:$D$50,3,0)</f>
        <v>9503</v>
      </c>
      <c r="AH102" s="23">
        <f t="shared" si="31"/>
        <v>11032.6875</v>
      </c>
      <c r="AI102" s="18">
        <v>0</v>
      </c>
      <c r="AJ102" s="18">
        <f>VLOOKUP(D102,[1]Sheet1!$D$6:$DR$155,119,0)</f>
        <v>0</v>
      </c>
      <c r="AK102" s="18">
        <f>VLOOKUP(D102,[1]Sheet1!$D$6:$DQ$155,118,0)</f>
        <v>0</v>
      </c>
      <c r="AL102" s="23">
        <f t="shared" si="26"/>
        <v>11032.6875</v>
      </c>
      <c r="AM102" s="24">
        <f t="shared" si="27"/>
        <v>1323.9224999999999</v>
      </c>
      <c r="AN102" s="24">
        <f t="shared" si="28"/>
        <v>82.745156249999994</v>
      </c>
      <c r="AO102" s="24">
        <f t="shared" si="29"/>
        <v>0</v>
      </c>
      <c r="AP102" s="24">
        <f t="shared" si="16"/>
        <v>1434</v>
      </c>
      <c r="AQ102" s="24">
        <f t="shared" si="17"/>
        <v>359</v>
      </c>
      <c r="AR102" s="24">
        <f t="shared" si="30"/>
        <v>9626.0198437500003</v>
      </c>
      <c r="AS102" s="25" t="s">
        <v>63</v>
      </c>
      <c r="AT102" s="26">
        <v>0</v>
      </c>
    </row>
    <row r="103" spans="1:46" ht="30" x14ac:dyDescent="0.25">
      <c r="A103" s="7">
        <v>99</v>
      </c>
      <c r="B103" s="8" t="str">
        <f t="shared" si="18"/>
        <v>SHE357</v>
      </c>
      <c r="C103" s="8" t="s">
        <v>64</v>
      </c>
      <c r="D103" s="8" t="s">
        <v>378</v>
      </c>
      <c r="E103" s="9" t="s">
        <v>379</v>
      </c>
      <c r="F103" s="8" t="s">
        <v>239</v>
      </c>
      <c r="G103" s="8" t="s">
        <v>245</v>
      </c>
      <c r="H103" s="10" t="s">
        <v>265</v>
      </c>
      <c r="I103" s="11" t="s">
        <v>58</v>
      </c>
      <c r="J103" s="12">
        <v>45954</v>
      </c>
      <c r="K103" s="13" t="s">
        <v>59</v>
      </c>
      <c r="L103" s="14">
        <v>44711827038</v>
      </c>
      <c r="M103" s="14" t="s">
        <v>126</v>
      </c>
      <c r="N103" s="14">
        <v>102258571335</v>
      </c>
      <c r="O103" s="13">
        <v>3813606383</v>
      </c>
      <c r="P103" s="15">
        <v>0</v>
      </c>
      <c r="Q103" s="16" t="s">
        <v>62</v>
      </c>
      <c r="R103" s="17">
        <v>489.5</v>
      </c>
      <c r="S103" s="18">
        <f t="shared" si="19"/>
        <v>7342.5</v>
      </c>
      <c r="T103" s="8">
        <v>19</v>
      </c>
      <c r="U103" s="19">
        <v>0</v>
      </c>
      <c r="V103" s="19">
        <v>49</v>
      </c>
      <c r="W103" s="19">
        <v>5</v>
      </c>
      <c r="X103" s="19">
        <v>0</v>
      </c>
      <c r="Y103" s="19">
        <v>4</v>
      </c>
      <c r="Z103" s="19">
        <v>0</v>
      </c>
      <c r="AA103" s="20">
        <f t="shared" si="20"/>
        <v>19</v>
      </c>
      <c r="AB103" s="21">
        <f t="shared" si="21"/>
        <v>28</v>
      </c>
      <c r="AC103" s="22">
        <f t="shared" si="22"/>
        <v>9300.5</v>
      </c>
      <c r="AD103" s="22">
        <f t="shared" si="23"/>
        <v>0</v>
      </c>
      <c r="AE103" s="18">
        <f t="shared" si="24"/>
        <v>5996.375</v>
      </c>
      <c r="AF103" s="18">
        <v>0</v>
      </c>
      <c r="AG103" s="18">
        <v>0</v>
      </c>
      <c r="AH103" s="23">
        <f t="shared" si="31"/>
        <v>15296.875</v>
      </c>
      <c r="AI103" s="18">
        <v>0</v>
      </c>
      <c r="AJ103" s="18">
        <f>VLOOKUP(D103,[1]Sheet1!$D$6:$DR$155,119,0)</f>
        <v>0</v>
      </c>
      <c r="AK103" s="18">
        <f>VLOOKUP(D103,[1]Sheet1!$D$6:$DQ$155,118,0)</f>
        <v>0</v>
      </c>
      <c r="AL103" s="23">
        <f t="shared" si="26"/>
        <v>15296.875</v>
      </c>
      <c r="AM103" s="24">
        <f t="shared" si="27"/>
        <v>1800</v>
      </c>
      <c r="AN103" s="24">
        <f t="shared" si="28"/>
        <v>114.7265625</v>
      </c>
      <c r="AO103" s="24">
        <f t="shared" si="29"/>
        <v>200</v>
      </c>
      <c r="AP103" s="24">
        <f t="shared" si="16"/>
        <v>1950</v>
      </c>
      <c r="AQ103" s="24">
        <f t="shared" si="17"/>
        <v>497</v>
      </c>
      <c r="AR103" s="24">
        <f t="shared" si="30"/>
        <v>13182.1484375</v>
      </c>
      <c r="AS103" s="25" t="s">
        <v>63</v>
      </c>
      <c r="AT103" s="26">
        <v>0</v>
      </c>
    </row>
    <row r="104" spans="1:46" ht="30" x14ac:dyDescent="0.25">
      <c r="A104" s="7">
        <v>100</v>
      </c>
      <c r="B104" s="8" t="str">
        <f t="shared" si="18"/>
        <v>SHE363</v>
      </c>
      <c r="C104" s="8" t="s">
        <v>141</v>
      </c>
      <c r="D104" s="8" t="s">
        <v>380</v>
      </c>
      <c r="E104" s="9" t="s">
        <v>381</v>
      </c>
      <c r="F104" s="8" t="s">
        <v>239</v>
      </c>
      <c r="G104" s="8" t="s">
        <v>261</v>
      </c>
      <c r="H104" s="10" t="s">
        <v>246</v>
      </c>
      <c r="I104" s="11" t="s">
        <v>58</v>
      </c>
      <c r="J104" s="12">
        <v>45964</v>
      </c>
      <c r="K104" s="13" t="s">
        <v>59</v>
      </c>
      <c r="L104" s="14">
        <v>44604092138</v>
      </c>
      <c r="M104" s="14" t="s">
        <v>382</v>
      </c>
      <c r="N104" s="14">
        <v>102239905939</v>
      </c>
      <c r="O104" s="13">
        <v>3813633204</v>
      </c>
      <c r="P104" s="15">
        <v>0</v>
      </c>
      <c r="Q104" s="16" t="s">
        <v>62</v>
      </c>
      <c r="R104" s="17">
        <v>489.5</v>
      </c>
      <c r="S104" s="18">
        <f t="shared" si="19"/>
        <v>7342.5</v>
      </c>
      <c r="T104" s="8">
        <v>22</v>
      </c>
      <c r="U104" s="19">
        <v>0</v>
      </c>
      <c r="V104" s="19">
        <v>2</v>
      </c>
      <c r="W104" s="19">
        <v>2</v>
      </c>
      <c r="X104" s="19">
        <v>0</v>
      </c>
      <c r="Y104" s="19">
        <v>4</v>
      </c>
      <c r="Z104" s="19">
        <v>0</v>
      </c>
      <c r="AA104" s="20">
        <f t="shared" si="20"/>
        <v>22</v>
      </c>
      <c r="AB104" s="21">
        <f t="shared" si="21"/>
        <v>28</v>
      </c>
      <c r="AC104" s="22">
        <f t="shared" si="22"/>
        <v>10769</v>
      </c>
      <c r="AD104" s="22">
        <f t="shared" si="23"/>
        <v>0</v>
      </c>
      <c r="AE104" s="18">
        <f t="shared" si="24"/>
        <v>244.75</v>
      </c>
      <c r="AF104" s="18">
        <v>0</v>
      </c>
      <c r="AG104" s="18">
        <v>0</v>
      </c>
      <c r="AH104" s="23">
        <f t="shared" si="31"/>
        <v>11013.75</v>
      </c>
      <c r="AI104" s="18">
        <v>0</v>
      </c>
      <c r="AJ104" s="18">
        <f>VLOOKUP(D104,[1]Sheet1!$D$6:$DR$155,119,0)</f>
        <v>0</v>
      </c>
      <c r="AK104" s="18">
        <f>VLOOKUP(D104,[1]Sheet1!$D$6:$DQ$155,118,0)</f>
        <v>0</v>
      </c>
      <c r="AL104" s="23">
        <f t="shared" si="26"/>
        <v>11013.75</v>
      </c>
      <c r="AM104" s="24">
        <f t="shared" si="27"/>
        <v>1321.6499999999999</v>
      </c>
      <c r="AN104" s="24">
        <f t="shared" si="28"/>
        <v>82.603124999999991</v>
      </c>
      <c r="AO104" s="24">
        <f t="shared" si="29"/>
        <v>0</v>
      </c>
      <c r="AP104" s="24">
        <f t="shared" si="16"/>
        <v>1432</v>
      </c>
      <c r="AQ104" s="24">
        <f t="shared" si="17"/>
        <v>358</v>
      </c>
      <c r="AR104" s="24">
        <f t="shared" si="30"/>
        <v>9609.4968750000007</v>
      </c>
      <c r="AS104" s="25" t="s">
        <v>63</v>
      </c>
      <c r="AT104" s="26">
        <v>0</v>
      </c>
    </row>
    <row r="105" spans="1:46" ht="30" x14ac:dyDescent="0.25">
      <c r="A105" s="7">
        <v>101</v>
      </c>
      <c r="B105" s="8" t="str">
        <f t="shared" si="18"/>
        <v>SHE367</v>
      </c>
      <c r="C105" s="8" t="s">
        <v>52</v>
      </c>
      <c r="D105" s="8" t="s">
        <v>383</v>
      </c>
      <c r="E105" s="9" t="s">
        <v>384</v>
      </c>
      <c r="F105" s="8" t="s">
        <v>239</v>
      </c>
      <c r="G105" s="8" t="s">
        <v>245</v>
      </c>
      <c r="H105" s="10" t="s">
        <v>265</v>
      </c>
      <c r="I105" s="11" t="s">
        <v>58</v>
      </c>
      <c r="J105" s="12">
        <v>45966</v>
      </c>
      <c r="K105" s="13" t="s">
        <v>155</v>
      </c>
      <c r="L105" s="14">
        <v>92450100018404</v>
      </c>
      <c r="M105" s="14" t="s">
        <v>194</v>
      </c>
      <c r="N105" s="14">
        <v>101576838136</v>
      </c>
      <c r="O105" s="13">
        <v>3813632608</v>
      </c>
      <c r="P105" s="15">
        <v>0</v>
      </c>
      <c r="Q105" s="16" t="s">
        <v>62</v>
      </c>
      <c r="R105" s="17">
        <v>489.5</v>
      </c>
      <c r="S105" s="18">
        <f t="shared" si="19"/>
        <v>7342.5</v>
      </c>
      <c r="T105" s="8">
        <v>18.5</v>
      </c>
      <c r="U105" s="19">
        <v>0</v>
      </c>
      <c r="V105" s="19">
        <v>0</v>
      </c>
      <c r="W105" s="19">
        <v>5.5</v>
      </c>
      <c r="X105" s="19">
        <v>0</v>
      </c>
      <c r="Y105" s="19">
        <v>4</v>
      </c>
      <c r="Z105" s="19">
        <v>0</v>
      </c>
      <c r="AA105" s="20">
        <f t="shared" si="20"/>
        <v>18.5</v>
      </c>
      <c r="AB105" s="21">
        <f t="shared" si="21"/>
        <v>28</v>
      </c>
      <c r="AC105" s="22">
        <f t="shared" si="22"/>
        <v>9055.75</v>
      </c>
      <c r="AD105" s="22">
        <f t="shared" si="23"/>
        <v>0</v>
      </c>
      <c r="AE105" s="18">
        <f t="shared" si="24"/>
        <v>0</v>
      </c>
      <c r="AF105" s="18">
        <v>0</v>
      </c>
      <c r="AG105" s="18">
        <v>0</v>
      </c>
      <c r="AH105" s="23">
        <f t="shared" si="31"/>
        <v>9055.75</v>
      </c>
      <c r="AI105" s="18">
        <v>0</v>
      </c>
      <c r="AJ105" s="18">
        <f>VLOOKUP(D105,[1]Sheet1!$D$6:$DR$155,119,0)</f>
        <v>0</v>
      </c>
      <c r="AK105" s="18">
        <f>VLOOKUP(D105,[1]Sheet1!$D$6:$DQ$155,118,0)</f>
        <v>0</v>
      </c>
      <c r="AL105" s="23">
        <f t="shared" si="26"/>
        <v>9055.75</v>
      </c>
      <c r="AM105" s="24">
        <f t="shared" si="27"/>
        <v>1086.69</v>
      </c>
      <c r="AN105" s="24">
        <f t="shared" si="28"/>
        <v>67.918125000000003</v>
      </c>
      <c r="AO105" s="24">
        <f t="shared" si="29"/>
        <v>0</v>
      </c>
      <c r="AP105" s="24">
        <f t="shared" si="16"/>
        <v>1177</v>
      </c>
      <c r="AQ105" s="24">
        <f t="shared" si="17"/>
        <v>294</v>
      </c>
      <c r="AR105" s="24">
        <f t="shared" si="30"/>
        <v>7901.1418750000003</v>
      </c>
      <c r="AS105" s="25" t="s">
        <v>63</v>
      </c>
      <c r="AT105" s="26">
        <v>0</v>
      </c>
    </row>
    <row r="106" spans="1:46" ht="30" x14ac:dyDescent="0.25">
      <c r="A106" s="7">
        <v>102</v>
      </c>
      <c r="B106" s="8" t="str">
        <f t="shared" si="18"/>
        <v>SHE402</v>
      </c>
      <c r="C106" s="8" t="s">
        <v>52</v>
      </c>
      <c r="D106" s="8" t="s">
        <v>385</v>
      </c>
      <c r="E106" s="9" t="s">
        <v>386</v>
      </c>
      <c r="F106" s="8" t="s">
        <v>239</v>
      </c>
      <c r="G106" s="8" t="s">
        <v>245</v>
      </c>
      <c r="H106" s="10" t="s">
        <v>387</v>
      </c>
      <c r="I106" s="11" t="s">
        <v>58</v>
      </c>
      <c r="J106" s="12">
        <v>45980</v>
      </c>
      <c r="K106" s="13" t="s">
        <v>59</v>
      </c>
      <c r="L106" s="14">
        <v>43628011364</v>
      </c>
      <c r="M106" s="14" t="s">
        <v>145</v>
      </c>
      <c r="N106" s="14">
        <v>102140592878</v>
      </c>
      <c r="O106" s="13">
        <v>3813629153</v>
      </c>
      <c r="P106" s="15">
        <v>0</v>
      </c>
      <c r="Q106" s="16" t="s">
        <v>62</v>
      </c>
      <c r="R106" s="17">
        <v>489.5</v>
      </c>
      <c r="S106" s="18">
        <f t="shared" si="19"/>
        <v>7342.5</v>
      </c>
      <c r="T106" s="8">
        <v>12</v>
      </c>
      <c r="U106" s="19">
        <v>0</v>
      </c>
      <c r="V106" s="19">
        <v>0</v>
      </c>
      <c r="W106" s="19">
        <v>13</v>
      </c>
      <c r="X106" s="19">
        <v>0</v>
      </c>
      <c r="Y106" s="19">
        <v>3</v>
      </c>
      <c r="Z106" s="19">
        <v>0</v>
      </c>
      <c r="AA106" s="20">
        <f t="shared" si="20"/>
        <v>12</v>
      </c>
      <c r="AB106" s="21">
        <f t="shared" si="21"/>
        <v>28</v>
      </c>
      <c r="AC106" s="22">
        <f t="shared" si="22"/>
        <v>5874</v>
      </c>
      <c r="AD106" s="22">
        <f t="shared" si="23"/>
        <v>0</v>
      </c>
      <c r="AE106" s="18">
        <f t="shared" si="24"/>
        <v>0</v>
      </c>
      <c r="AF106" s="18">
        <v>0</v>
      </c>
      <c r="AG106" s="18">
        <v>0</v>
      </c>
      <c r="AH106" s="23">
        <f t="shared" si="31"/>
        <v>5874</v>
      </c>
      <c r="AI106" s="18">
        <v>0</v>
      </c>
      <c r="AJ106" s="18">
        <f>VLOOKUP(D106,[1]Sheet1!$D$6:$DR$155,119,0)</f>
        <v>0</v>
      </c>
      <c r="AK106" s="18">
        <f>VLOOKUP(D106,[1]Sheet1!$D$6:$DQ$155,118,0)</f>
        <v>0</v>
      </c>
      <c r="AL106" s="23">
        <f t="shared" si="26"/>
        <v>5874</v>
      </c>
      <c r="AM106" s="24">
        <f t="shared" si="27"/>
        <v>704.88</v>
      </c>
      <c r="AN106" s="24">
        <f t="shared" si="28"/>
        <v>44.055</v>
      </c>
      <c r="AO106" s="24">
        <f t="shared" si="29"/>
        <v>0</v>
      </c>
      <c r="AP106" s="24">
        <f t="shared" si="16"/>
        <v>764</v>
      </c>
      <c r="AQ106" s="24">
        <f t="shared" si="17"/>
        <v>191</v>
      </c>
      <c r="AR106" s="24">
        <f t="shared" si="30"/>
        <v>5125.0650000000005</v>
      </c>
      <c r="AS106" s="25" t="s">
        <v>63</v>
      </c>
      <c r="AT106" s="26">
        <v>0</v>
      </c>
    </row>
    <row r="107" spans="1:46" ht="30" x14ac:dyDescent="0.25">
      <c r="A107" s="7">
        <v>103</v>
      </c>
      <c r="B107" s="8" t="str">
        <f t="shared" si="18"/>
        <v>SHE405</v>
      </c>
      <c r="C107" s="8" t="s">
        <v>52</v>
      </c>
      <c r="D107" s="8" t="s">
        <v>388</v>
      </c>
      <c r="E107" s="9" t="s">
        <v>389</v>
      </c>
      <c r="F107" s="8" t="s">
        <v>239</v>
      </c>
      <c r="G107" s="8" t="s">
        <v>245</v>
      </c>
      <c r="H107" s="10" t="s">
        <v>300</v>
      </c>
      <c r="I107" s="11" t="s">
        <v>58</v>
      </c>
      <c r="J107" s="12">
        <v>45981</v>
      </c>
      <c r="K107" s="13" t="s">
        <v>210</v>
      </c>
      <c r="L107" s="14">
        <v>5379077964</v>
      </c>
      <c r="M107" s="14" t="s">
        <v>390</v>
      </c>
      <c r="N107" s="14">
        <v>101933994920</v>
      </c>
      <c r="O107" s="13">
        <v>3813628723</v>
      </c>
      <c r="P107" s="15">
        <v>0</v>
      </c>
      <c r="Q107" s="16" t="s">
        <v>62</v>
      </c>
      <c r="R107" s="17">
        <v>489.5</v>
      </c>
      <c r="S107" s="18">
        <f t="shared" si="19"/>
        <v>7342.5</v>
      </c>
      <c r="T107" s="8">
        <v>15.5</v>
      </c>
      <c r="U107" s="19">
        <v>0</v>
      </c>
      <c r="V107" s="19">
        <v>23</v>
      </c>
      <c r="W107" s="19">
        <v>9.5</v>
      </c>
      <c r="X107" s="19">
        <v>0</v>
      </c>
      <c r="Y107" s="19">
        <v>3</v>
      </c>
      <c r="Z107" s="19">
        <v>0</v>
      </c>
      <c r="AA107" s="20">
        <f t="shared" si="20"/>
        <v>15.5</v>
      </c>
      <c r="AB107" s="21">
        <f t="shared" si="21"/>
        <v>28</v>
      </c>
      <c r="AC107" s="22">
        <f t="shared" si="22"/>
        <v>7587.25</v>
      </c>
      <c r="AD107" s="22">
        <f t="shared" si="23"/>
        <v>0</v>
      </c>
      <c r="AE107" s="18">
        <f t="shared" si="24"/>
        <v>2814.625</v>
      </c>
      <c r="AF107" s="18">
        <v>0</v>
      </c>
      <c r="AG107" s="18">
        <v>0</v>
      </c>
      <c r="AH107" s="23">
        <f t="shared" si="31"/>
        <v>10401.875</v>
      </c>
      <c r="AI107" s="18">
        <v>0</v>
      </c>
      <c r="AJ107" s="18">
        <f>VLOOKUP(D107,[1]Sheet1!$D$6:$DR$155,119,0)</f>
        <v>0</v>
      </c>
      <c r="AK107" s="18">
        <f>VLOOKUP(D107,[1]Sheet1!$D$6:$DQ$155,118,0)</f>
        <v>0</v>
      </c>
      <c r="AL107" s="23">
        <f t="shared" si="26"/>
        <v>10401.875</v>
      </c>
      <c r="AM107" s="24">
        <f t="shared" si="27"/>
        <v>1248.2249999999999</v>
      </c>
      <c r="AN107" s="24">
        <f t="shared" si="28"/>
        <v>78.014062499999994</v>
      </c>
      <c r="AO107" s="24">
        <f t="shared" si="29"/>
        <v>0</v>
      </c>
      <c r="AP107" s="24">
        <f t="shared" si="16"/>
        <v>1352</v>
      </c>
      <c r="AQ107" s="24">
        <f t="shared" si="17"/>
        <v>338</v>
      </c>
      <c r="AR107" s="24">
        <f t="shared" si="30"/>
        <v>9075.6359374999993</v>
      </c>
      <c r="AS107" s="25" t="s">
        <v>63</v>
      </c>
      <c r="AT107" s="26">
        <v>0</v>
      </c>
    </row>
    <row r="108" spans="1:46" ht="30" x14ac:dyDescent="0.25">
      <c r="A108" s="7">
        <v>104</v>
      </c>
      <c r="B108" s="8" t="str">
        <f t="shared" si="18"/>
        <v>SHE410</v>
      </c>
      <c r="C108" s="8" t="s">
        <v>52</v>
      </c>
      <c r="D108" s="8" t="s">
        <v>391</v>
      </c>
      <c r="E108" s="9" t="s">
        <v>392</v>
      </c>
      <c r="F108" s="8" t="s">
        <v>55</v>
      </c>
      <c r="G108" s="8" t="s">
        <v>67</v>
      </c>
      <c r="H108" s="10" t="s">
        <v>102</v>
      </c>
      <c r="I108" s="11" t="s">
        <v>58</v>
      </c>
      <c r="J108" s="12">
        <v>45994</v>
      </c>
      <c r="K108" s="13" t="s">
        <v>59</v>
      </c>
      <c r="L108" s="14">
        <v>44174473595</v>
      </c>
      <c r="M108" s="14" t="s">
        <v>393</v>
      </c>
      <c r="N108" s="14">
        <v>101565443511</v>
      </c>
      <c r="O108" s="13">
        <v>3813629189</v>
      </c>
      <c r="P108" s="15">
        <v>0</v>
      </c>
      <c r="Q108" s="16" t="s">
        <v>62</v>
      </c>
      <c r="R108" s="17">
        <v>489.5</v>
      </c>
      <c r="S108" s="18">
        <f t="shared" si="19"/>
        <v>7342.5</v>
      </c>
      <c r="T108" s="8">
        <v>16.5</v>
      </c>
      <c r="U108" s="19">
        <v>0</v>
      </c>
      <c r="V108" s="19">
        <v>0</v>
      </c>
      <c r="W108" s="19">
        <v>7.5</v>
      </c>
      <c r="X108" s="19">
        <v>0</v>
      </c>
      <c r="Y108" s="19">
        <v>4</v>
      </c>
      <c r="Z108" s="19">
        <v>0</v>
      </c>
      <c r="AA108" s="20">
        <f t="shared" si="20"/>
        <v>16.5</v>
      </c>
      <c r="AB108" s="21">
        <f t="shared" si="21"/>
        <v>28</v>
      </c>
      <c r="AC108" s="22">
        <f t="shared" si="22"/>
        <v>8076.75</v>
      </c>
      <c r="AD108" s="22">
        <f t="shared" si="23"/>
        <v>0</v>
      </c>
      <c r="AE108" s="18">
        <f t="shared" si="24"/>
        <v>0</v>
      </c>
      <c r="AF108" s="18">
        <v>0</v>
      </c>
      <c r="AG108" s="18">
        <v>0</v>
      </c>
      <c r="AH108" s="23">
        <f t="shared" ref="AH108:AH155" si="32">SUM(AC108:AG108)</f>
        <v>8076.75</v>
      </c>
      <c r="AI108" s="18">
        <v>0</v>
      </c>
      <c r="AJ108" s="18">
        <f>VLOOKUP(D108,[1]Sheet1!$D$6:$DR$155,119,0)</f>
        <v>0</v>
      </c>
      <c r="AK108" s="18">
        <f>VLOOKUP(D108,[1]Sheet1!$D$6:$DQ$155,118,0)</f>
        <v>0</v>
      </c>
      <c r="AL108" s="23">
        <f t="shared" si="26"/>
        <v>8076.75</v>
      </c>
      <c r="AM108" s="24">
        <f t="shared" si="27"/>
        <v>969.20999999999992</v>
      </c>
      <c r="AN108" s="24">
        <f t="shared" si="28"/>
        <v>60.575624999999995</v>
      </c>
      <c r="AO108" s="24">
        <f t="shared" si="29"/>
        <v>0</v>
      </c>
      <c r="AP108" s="24">
        <f t="shared" si="16"/>
        <v>1050</v>
      </c>
      <c r="AQ108" s="24">
        <f t="shared" si="17"/>
        <v>262</v>
      </c>
      <c r="AR108" s="24">
        <f t="shared" si="30"/>
        <v>7046.9643749999996</v>
      </c>
      <c r="AS108" s="25" t="s">
        <v>63</v>
      </c>
      <c r="AT108" s="26">
        <v>0</v>
      </c>
    </row>
    <row r="109" spans="1:46" ht="30" x14ac:dyDescent="0.25">
      <c r="A109" s="7">
        <v>105</v>
      </c>
      <c r="B109" s="8" t="str">
        <f t="shared" si="18"/>
        <v>SHE411</v>
      </c>
      <c r="C109" s="8" t="s">
        <v>52</v>
      </c>
      <c r="D109" s="8" t="s">
        <v>394</v>
      </c>
      <c r="E109" s="9" t="s">
        <v>395</v>
      </c>
      <c r="F109" s="8" t="s">
        <v>55</v>
      </c>
      <c r="G109" s="8" t="s">
        <v>67</v>
      </c>
      <c r="H109" s="10" t="s">
        <v>102</v>
      </c>
      <c r="I109" s="11" t="s">
        <v>58</v>
      </c>
      <c r="J109" s="12">
        <v>45994</v>
      </c>
      <c r="K109" s="13" t="s">
        <v>59</v>
      </c>
      <c r="L109" s="14">
        <v>33742495143</v>
      </c>
      <c r="M109" s="14" t="s">
        <v>132</v>
      </c>
      <c r="N109" s="14">
        <v>101276560538</v>
      </c>
      <c r="O109" s="13">
        <v>3811296341</v>
      </c>
      <c r="P109" s="15">
        <v>0</v>
      </c>
      <c r="Q109" s="16" t="s">
        <v>62</v>
      </c>
      <c r="R109" s="17">
        <v>489.5</v>
      </c>
      <c r="S109" s="18">
        <f t="shared" si="19"/>
        <v>7342.5</v>
      </c>
      <c r="T109" s="8">
        <v>22</v>
      </c>
      <c r="U109" s="19">
        <v>0</v>
      </c>
      <c r="V109" s="19">
        <v>0</v>
      </c>
      <c r="W109" s="19">
        <v>2</v>
      </c>
      <c r="X109" s="19">
        <v>0</v>
      </c>
      <c r="Y109" s="19">
        <v>4</v>
      </c>
      <c r="Z109" s="19">
        <v>0</v>
      </c>
      <c r="AA109" s="20">
        <f t="shared" si="20"/>
        <v>22</v>
      </c>
      <c r="AB109" s="21">
        <f t="shared" si="21"/>
        <v>28</v>
      </c>
      <c r="AC109" s="22">
        <f t="shared" si="22"/>
        <v>10769</v>
      </c>
      <c r="AD109" s="22">
        <f t="shared" si="23"/>
        <v>0</v>
      </c>
      <c r="AE109" s="18">
        <f t="shared" si="24"/>
        <v>0</v>
      </c>
      <c r="AF109" s="18">
        <v>0</v>
      </c>
      <c r="AG109" s="18">
        <v>0</v>
      </c>
      <c r="AH109" s="23">
        <f t="shared" si="32"/>
        <v>10769</v>
      </c>
      <c r="AI109" s="18">
        <v>0</v>
      </c>
      <c r="AJ109" s="18">
        <f>VLOOKUP(D109,[1]Sheet1!$D$6:$DR$155,119,0)</f>
        <v>0</v>
      </c>
      <c r="AK109" s="18">
        <f>VLOOKUP(D109,[1]Sheet1!$D$6:$DQ$155,118,0)</f>
        <v>0</v>
      </c>
      <c r="AL109" s="23">
        <f t="shared" si="26"/>
        <v>10769</v>
      </c>
      <c r="AM109" s="24">
        <f t="shared" si="27"/>
        <v>1292.28</v>
      </c>
      <c r="AN109" s="24">
        <f t="shared" si="28"/>
        <v>80.767499999999998</v>
      </c>
      <c r="AO109" s="24">
        <f t="shared" si="29"/>
        <v>0</v>
      </c>
      <c r="AP109" s="24">
        <f t="shared" si="16"/>
        <v>1400</v>
      </c>
      <c r="AQ109" s="24">
        <f t="shared" si="17"/>
        <v>350</v>
      </c>
      <c r="AR109" s="24">
        <f t="shared" si="30"/>
        <v>9395.9524999999994</v>
      </c>
      <c r="AS109" s="25" t="s">
        <v>63</v>
      </c>
      <c r="AT109" s="26">
        <v>0</v>
      </c>
    </row>
    <row r="110" spans="1:46" ht="30" x14ac:dyDescent="0.25">
      <c r="A110" s="7">
        <v>106</v>
      </c>
      <c r="B110" s="8" t="str">
        <f t="shared" si="18"/>
        <v>NPIA0403</v>
      </c>
      <c r="C110" s="8" t="s">
        <v>52</v>
      </c>
      <c r="D110" s="8" t="s">
        <v>396</v>
      </c>
      <c r="E110" s="9" t="s">
        <v>397</v>
      </c>
      <c r="F110" s="8" t="s">
        <v>55</v>
      </c>
      <c r="G110" s="8" t="s">
        <v>67</v>
      </c>
      <c r="H110" s="10" t="s">
        <v>84</v>
      </c>
      <c r="I110" s="11" t="s">
        <v>58</v>
      </c>
      <c r="J110" s="12">
        <v>43038</v>
      </c>
      <c r="K110" s="13" t="s">
        <v>93</v>
      </c>
      <c r="L110" s="14" t="s">
        <v>398</v>
      </c>
      <c r="M110" s="14" t="s">
        <v>106</v>
      </c>
      <c r="N110" s="14">
        <v>101425452022</v>
      </c>
      <c r="O110" s="13">
        <v>3813632618</v>
      </c>
      <c r="P110" s="15">
        <v>0</v>
      </c>
      <c r="Q110" s="16" t="s">
        <v>62</v>
      </c>
      <c r="R110" s="17">
        <v>489.5</v>
      </c>
      <c r="S110" s="18">
        <f t="shared" si="19"/>
        <v>7342.5</v>
      </c>
      <c r="T110" s="8">
        <v>1</v>
      </c>
      <c r="U110" s="19">
        <v>0</v>
      </c>
      <c r="V110" s="19">
        <v>4</v>
      </c>
      <c r="W110" s="19">
        <v>0</v>
      </c>
      <c r="X110" s="19">
        <v>0</v>
      </c>
      <c r="Y110" s="19">
        <v>2</v>
      </c>
      <c r="Z110" s="19">
        <v>25</v>
      </c>
      <c r="AA110" s="20">
        <f t="shared" si="20"/>
        <v>1</v>
      </c>
      <c r="AB110" s="21">
        <f t="shared" si="21"/>
        <v>28</v>
      </c>
      <c r="AC110" s="22">
        <f t="shared" si="22"/>
        <v>489.5</v>
      </c>
      <c r="AD110" s="22">
        <f t="shared" si="23"/>
        <v>0</v>
      </c>
      <c r="AE110" s="18">
        <f t="shared" si="24"/>
        <v>489.5</v>
      </c>
      <c r="AF110" s="18">
        <v>0</v>
      </c>
      <c r="AG110" s="18">
        <f>VLOOKUP(D110,[2]Sheet1!$B$3:$D$50,3,0)</f>
        <v>37150</v>
      </c>
      <c r="AH110" s="23">
        <f t="shared" si="32"/>
        <v>38129</v>
      </c>
      <c r="AI110" s="18">
        <v>0</v>
      </c>
      <c r="AJ110" s="18">
        <f>VLOOKUP(D110,[1]Sheet1!$D$6:$DR$155,119,0)</f>
        <v>200</v>
      </c>
      <c r="AK110" s="18">
        <f>VLOOKUP(D110,[1]Sheet1!$D$6:$DQ$155,118,0)</f>
        <v>0</v>
      </c>
      <c r="AL110" s="23">
        <f t="shared" si="26"/>
        <v>37929</v>
      </c>
      <c r="AM110" s="24">
        <f t="shared" si="27"/>
        <v>1800</v>
      </c>
      <c r="AN110" s="24">
        <f t="shared" si="28"/>
        <v>285.96749999999997</v>
      </c>
      <c r="AO110" s="24">
        <f t="shared" si="29"/>
        <v>200</v>
      </c>
      <c r="AP110" s="24">
        <f t="shared" si="16"/>
        <v>1950</v>
      </c>
      <c r="AQ110" s="24">
        <f t="shared" si="17"/>
        <v>1239</v>
      </c>
      <c r="AR110" s="24">
        <f t="shared" si="30"/>
        <v>35643.032500000001</v>
      </c>
      <c r="AS110" s="25" t="s">
        <v>63</v>
      </c>
      <c r="AT110" s="26">
        <v>0</v>
      </c>
    </row>
    <row r="111" spans="1:46" ht="30" x14ac:dyDescent="0.25">
      <c r="A111" s="7">
        <v>107</v>
      </c>
      <c r="B111" s="8" t="str">
        <f t="shared" si="18"/>
        <v>NUC0057</v>
      </c>
      <c r="C111" s="8" t="s">
        <v>52</v>
      </c>
      <c r="D111" s="8" t="s">
        <v>399</v>
      </c>
      <c r="E111" s="9" t="s">
        <v>400</v>
      </c>
      <c r="F111" s="8" t="s">
        <v>55</v>
      </c>
      <c r="G111" s="8" t="s">
        <v>83</v>
      </c>
      <c r="H111" s="10" t="s">
        <v>84</v>
      </c>
      <c r="I111" s="11" t="s">
        <v>58</v>
      </c>
      <c r="J111" s="12"/>
      <c r="K111" s="13" t="s">
        <v>69</v>
      </c>
      <c r="L111" s="14" t="s">
        <v>401</v>
      </c>
      <c r="M111" s="14" t="s">
        <v>71</v>
      </c>
      <c r="N111" s="14">
        <v>101154178000</v>
      </c>
      <c r="O111" s="13">
        <v>3811378579</v>
      </c>
      <c r="P111" s="15">
        <v>0</v>
      </c>
      <c r="Q111" s="16" t="s">
        <v>62</v>
      </c>
      <c r="R111" s="17">
        <v>489.5</v>
      </c>
      <c r="S111" s="18">
        <f t="shared" si="19"/>
        <v>7342.5</v>
      </c>
      <c r="T111" s="8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4</v>
      </c>
      <c r="Z111" s="19">
        <v>24</v>
      </c>
      <c r="AA111" s="20">
        <f t="shared" si="20"/>
        <v>0</v>
      </c>
      <c r="AB111" s="21">
        <f t="shared" si="21"/>
        <v>28</v>
      </c>
      <c r="AC111" s="22">
        <f t="shared" si="22"/>
        <v>0</v>
      </c>
      <c r="AD111" s="22">
        <f t="shared" si="23"/>
        <v>0</v>
      </c>
      <c r="AE111" s="18">
        <f t="shared" si="24"/>
        <v>0</v>
      </c>
      <c r="AF111" s="18">
        <v>0</v>
      </c>
      <c r="AG111" s="18">
        <f>VLOOKUP(D111,[2]Sheet1!$B$3:$D$50,3,0)</f>
        <v>28542.666666666668</v>
      </c>
      <c r="AH111" s="23">
        <f t="shared" si="32"/>
        <v>28542.666666666668</v>
      </c>
      <c r="AI111" s="18">
        <v>0</v>
      </c>
      <c r="AJ111" s="18">
        <f>VLOOKUP(D111,[1]Sheet1!$D$6:$DR$155,119,0)</f>
        <v>0</v>
      </c>
      <c r="AK111" s="18">
        <f>VLOOKUP(D111,[1]Sheet1!$D$6:$DQ$155,118,0)</f>
        <v>0</v>
      </c>
      <c r="AL111" s="23">
        <f t="shared" si="26"/>
        <v>28542.666666666668</v>
      </c>
      <c r="AM111" s="24">
        <f t="shared" si="27"/>
        <v>1800</v>
      </c>
      <c r="AN111" s="24">
        <f t="shared" si="28"/>
        <v>214.07</v>
      </c>
      <c r="AO111" s="24">
        <f t="shared" si="29"/>
        <v>200</v>
      </c>
      <c r="AP111" s="24">
        <f t="shared" si="16"/>
        <v>1950</v>
      </c>
      <c r="AQ111" s="24">
        <f t="shared" si="17"/>
        <v>928</v>
      </c>
      <c r="AR111" s="24">
        <f t="shared" si="30"/>
        <v>26328.596666666668</v>
      </c>
      <c r="AS111" s="25" t="s">
        <v>63</v>
      </c>
      <c r="AT111" s="26">
        <v>0</v>
      </c>
    </row>
    <row r="112" spans="1:46" ht="30" x14ac:dyDescent="0.25">
      <c r="A112" s="7">
        <v>108</v>
      </c>
      <c r="B112" s="8" t="str">
        <f t="shared" si="18"/>
        <v>SHE417</v>
      </c>
      <c r="C112" s="8" t="s">
        <v>52</v>
      </c>
      <c r="D112" s="8" t="s">
        <v>402</v>
      </c>
      <c r="E112" s="9" t="s">
        <v>403</v>
      </c>
      <c r="F112" s="8" t="s">
        <v>55</v>
      </c>
      <c r="G112" s="8" t="s">
        <v>67</v>
      </c>
      <c r="H112" s="10" t="s">
        <v>404</v>
      </c>
      <c r="I112" s="11" t="s">
        <v>58</v>
      </c>
      <c r="J112" s="12">
        <v>46018</v>
      </c>
      <c r="K112" s="13" t="s">
        <v>93</v>
      </c>
      <c r="L112" s="14">
        <v>673302010003123</v>
      </c>
      <c r="M112" s="14" t="s">
        <v>106</v>
      </c>
      <c r="N112" s="14">
        <v>102282865013</v>
      </c>
      <c r="O112" s="13">
        <v>3811369078</v>
      </c>
      <c r="P112" s="15">
        <v>0</v>
      </c>
      <c r="Q112" s="16" t="s">
        <v>62</v>
      </c>
      <c r="R112" s="17">
        <v>489.5</v>
      </c>
      <c r="S112" s="18">
        <f t="shared" si="19"/>
        <v>7342.5</v>
      </c>
      <c r="T112" s="8">
        <v>22</v>
      </c>
      <c r="U112" s="19">
        <v>0</v>
      </c>
      <c r="V112" s="19">
        <v>47</v>
      </c>
      <c r="W112" s="19">
        <v>2</v>
      </c>
      <c r="X112" s="19">
        <v>0</v>
      </c>
      <c r="Y112" s="19">
        <v>4</v>
      </c>
      <c r="Z112" s="19">
        <v>0</v>
      </c>
      <c r="AA112" s="20">
        <f t="shared" si="20"/>
        <v>22</v>
      </c>
      <c r="AB112" s="21">
        <f t="shared" si="21"/>
        <v>28</v>
      </c>
      <c r="AC112" s="22">
        <f t="shared" si="22"/>
        <v>10769</v>
      </c>
      <c r="AD112" s="22">
        <f t="shared" si="23"/>
        <v>0</v>
      </c>
      <c r="AE112" s="18">
        <f t="shared" si="24"/>
        <v>5751.625</v>
      </c>
      <c r="AF112" s="18">
        <v>0</v>
      </c>
      <c r="AG112" s="18">
        <v>0</v>
      </c>
      <c r="AH112" s="23">
        <f t="shared" si="32"/>
        <v>16520.625</v>
      </c>
      <c r="AI112" s="18">
        <v>0</v>
      </c>
      <c r="AJ112" s="18">
        <f>VLOOKUP(D112,[1]Sheet1!$D$6:$DR$155,119,0)</f>
        <v>0</v>
      </c>
      <c r="AK112" s="18">
        <f>VLOOKUP(D112,[1]Sheet1!$D$6:$DQ$155,118,0)</f>
        <v>0</v>
      </c>
      <c r="AL112" s="23">
        <f t="shared" si="26"/>
        <v>16520.625</v>
      </c>
      <c r="AM112" s="24">
        <f t="shared" si="27"/>
        <v>1800</v>
      </c>
      <c r="AN112" s="24">
        <f t="shared" si="28"/>
        <v>123.90468749999999</v>
      </c>
      <c r="AO112" s="24">
        <f t="shared" si="29"/>
        <v>200</v>
      </c>
      <c r="AP112" s="24">
        <f t="shared" si="16"/>
        <v>1950</v>
      </c>
      <c r="AQ112" s="24">
        <f t="shared" si="17"/>
        <v>537</v>
      </c>
      <c r="AR112" s="24">
        <f t="shared" si="30"/>
        <v>14396.7203125</v>
      </c>
      <c r="AS112" s="25" t="s">
        <v>63</v>
      </c>
      <c r="AT112" s="26">
        <v>0</v>
      </c>
    </row>
    <row r="113" spans="1:46" ht="30" x14ac:dyDescent="0.25">
      <c r="A113" s="7">
        <v>109</v>
      </c>
      <c r="B113" s="8" t="str">
        <f t="shared" si="18"/>
        <v>SHE419</v>
      </c>
      <c r="C113" s="8" t="s">
        <v>52</v>
      </c>
      <c r="D113" s="8" t="s">
        <v>405</v>
      </c>
      <c r="E113" s="9" t="s">
        <v>406</v>
      </c>
      <c r="F113" s="8" t="s">
        <v>55</v>
      </c>
      <c r="G113" s="8" t="s">
        <v>83</v>
      </c>
      <c r="H113" s="10" t="s">
        <v>166</v>
      </c>
      <c r="I113" s="11" t="s">
        <v>58</v>
      </c>
      <c r="J113" s="12">
        <v>46018</v>
      </c>
      <c r="K113" s="13" t="s">
        <v>69</v>
      </c>
      <c r="L113" s="14" t="s">
        <v>407</v>
      </c>
      <c r="M113" s="14" t="s">
        <v>71</v>
      </c>
      <c r="N113" s="14">
        <v>101942521000</v>
      </c>
      <c r="O113" s="13">
        <v>3813287316</v>
      </c>
      <c r="P113" s="15">
        <v>0</v>
      </c>
      <c r="Q113" s="16" t="s">
        <v>62</v>
      </c>
      <c r="R113" s="17">
        <v>489.5</v>
      </c>
      <c r="S113" s="18">
        <f t="shared" si="19"/>
        <v>7342.5</v>
      </c>
      <c r="T113" s="8">
        <v>9</v>
      </c>
      <c r="U113" s="19">
        <v>0</v>
      </c>
      <c r="V113" s="19">
        <v>19.5</v>
      </c>
      <c r="W113" s="19">
        <v>0</v>
      </c>
      <c r="X113" s="19">
        <v>0</v>
      </c>
      <c r="Y113" s="19">
        <v>3</v>
      </c>
      <c r="Z113" s="19">
        <v>16</v>
      </c>
      <c r="AA113" s="20">
        <f t="shared" si="20"/>
        <v>9</v>
      </c>
      <c r="AB113" s="21">
        <f t="shared" si="21"/>
        <v>28</v>
      </c>
      <c r="AC113" s="22">
        <f t="shared" si="22"/>
        <v>4405.5</v>
      </c>
      <c r="AD113" s="22">
        <f t="shared" si="23"/>
        <v>0</v>
      </c>
      <c r="AE113" s="18">
        <f t="shared" si="24"/>
        <v>2386.3125</v>
      </c>
      <c r="AF113" s="18">
        <v>0</v>
      </c>
      <c r="AG113" s="18">
        <f>VLOOKUP(D113,[2]Sheet1!$B$3:$D$50,3,0)</f>
        <v>15312.867040000001</v>
      </c>
      <c r="AH113" s="23">
        <f t="shared" si="32"/>
        <v>22104.679540000001</v>
      </c>
      <c r="AI113" s="18">
        <v>0</v>
      </c>
      <c r="AJ113" s="18">
        <f>VLOOKUP(D113,[1]Sheet1!$D$6:$DR$155,119,0)</f>
        <v>0</v>
      </c>
      <c r="AK113" s="18">
        <f>VLOOKUP(D113,[1]Sheet1!$D$6:$DQ$155,118,0)</f>
        <v>0</v>
      </c>
      <c r="AL113" s="23">
        <f t="shared" si="26"/>
        <v>22104.679540000001</v>
      </c>
      <c r="AM113" s="24">
        <f t="shared" si="27"/>
        <v>1800</v>
      </c>
      <c r="AN113" s="24">
        <f t="shared" si="28"/>
        <v>165.78509654999999</v>
      </c>
      <c r="AO113" s="24">
        <f t="shared" si="29"/>
        <v>200</v>
      </c>
      <c r="AP113" s="24">
        <f t="shared" si="16"/>
        <v>1950</v>
      </c>
      <c r="AQ113" s="24">
        <f t="shared" si="17"/>
        <v>718</v>
      </c>
      <c r="AR113" s="24">
        <f t="shared" si="30"/>
        <v>19938.894443450001</v>
      </c>
      <c r="AS113" s="25" t="s">
        <v>63</v>
      </c>
      <c r="AT113" s="26">
        <v>0</v>
      </c>
    </row>
    <row r="114" spans="1:46" ht="30" x14ac:dyDescent="0.25">
      <c r="A114" s="7">
        <v>110</v>
      </c>
      <c r="B114" s="8" t="str">
        <f t="shared" si="18"/>
        <v>CFCA0248</v>
      </c>
      <c r="C114" s="8" t="s">
        <v>52</v>
      </c>
      <c r="D114" s="8" t="s">
        <v>408</v>
      </c>
      <c r="E114" s="9" t="s">
        <v>409</v>
      </c>
      <c r="F114" s="8" t="s">
        <v>239</v>
      </c>
      <c r="G114" s="8" t="s">
        <v>240</v>
      </c>
      <c r="H114" s="10" t="s">
        <v>265</v>
      </c>
      <c r="I114" s="11" t="s">
        <v>58</v>
      </c>
      <c r="J114" s="12">
        <v>43293</v>
      </c>
      <c r="K114" s="13" t="s">
        <v>93</v>
      </c>
      <c r="L114" s="14">
        <v>647702010002532</v>
      </c>
      <c r="M114" s="14" t="s">
        <v>94</v>
      </c>
      <c r="N114" s="14">
        <v>101058497966</v>
      </c>
      <c r="O114" s="13">
        <v>3813341905</v>
      </c>
      <c r="P114" s="15">
        <v>0</v>
      </c>
      <c r="Q114" s="16" t="s">
        <v>62</v>
      </c>
      <c r="R114" s="17">
        <v>489.5</v>
      </c>
      <c r="S114" s="18">
        <f t="shared" si="19"/>
        <v>7342.5</v>
      </c>
      <c r="T114" s="8">
        <v>10</v>
      </c>
      <c r="U114" s="19">
        <v>0</v>
      </c>
      <c r="V114" s="19">
        <v>26</v>
      </c>
      <c r="W114" s="19">
        <v>0</v>
      </c>
      <c r="X114" s="19">
        <v>0</v>
      </c>
      <c r="Y114" s="19">
        <v>2</v>
      </c>
      <c r="Z114" s="19">
        <v>16</v>
      </c>
      <c r="AA114" s="20">
        <f t="shared" si="20"/>
        <v>10</v>
      </c>
      <c r="AB114" s="21">
        <f t="shared" si="21"/>
        <v>28</v>
      </c>
      <c r="AC114" s="22">
        <f t="shared" si="22"/>
        <v>4895</v>
      </c>
      <c r="AD114" s="22">
        <f t="shared" si="23"/>
        <v>0</v>
      </c>
      <c r="AE114" s="18">
        <f t="shared" si="24"/>
        <v>3181.75</v>
      </c>
      <c r="AF114" s="18">
        <v>0</v>
      </c>
      <c r="AG114" s="18">
        <f>VLOOKUP(D114,[2]Sheet1!$B$3:$D$50,3,0)</f>
        <v>19742.45</v>
      </c>
      <c r="AH114" s="23">
        <f t="shared" si="32"/>
        <v>27819.200000000001</v>
      </c>
      <c r="AI114" s="18">
        <v>0</v>
      </c>
      <c r="AJ114" s="18">
        <f>VLOOKUP(D114,[1]Sheet1!$D$6:$DR$155,119,0)</f>
        <v>0</v>
      </c>
      <c r="AK114" s="18">
        <f>VLOOKUP(D114,[1]Sheet1!$D$6:$DQ$155,118,0)</f>
        <v>0</v>
      </c>
      <c r="AL114" s="23">
        <f t="shared" si="26"/>
        <v>27819.200000000001</v>
      </c>
      <c r="AM114" s="24">
        <f t="shared" si="27"/>
        <v>1800</v>
      </c>
      <c r="AN114" s="24">
        <f t="shared" si="28"/>
        <v>208.64400000000001</v>
      </c>
      <c r="AO114" s="24">
        <f t="shared" si="29"/>
        <v>200</v>
      </c>
      <c r="AP114" s="24">
        <f t="shared" si="16"/>
        <v>1950</v>
      </c>
      <c r="AQ114" s="24">
        <f t="shared" si="17"/>
        <v>904</v>
      </c>
      <c r="AR114" s="24">
        <f t="shared" si="30"/>
        <v>25610.556</v>
      </c>
      <c r="AS114" s="25" t="s">
        <v>63</v>
      </c>
      <c r="AT114" s="26">
        <v>0</v>
      </c>
    </row>
    <row r="115" spans="1:46" ht="30" x14ac:dyDescent="0.25">
      <c r="A115" s="7">
        <v>111</v>
      </c>
      <c r="B115" s="8" t="str">
        <f t="shared" si="18"/>
        <v>CFCP0620</v>
      </c>
      <c r="C115" s="8" t="s">
        <v>52</v>
      </c>
      <c r="D115" s="8" t="s">
        <v>410</v>
      </c>
      <c r="E115" s="9" t="s">
        <v>411</v>
      </c>
      <c r="F115" s="8" t="s">
        <v>239</v>
      </c>
      <c r="G115" s="8" t="s">
        <v>240</v>
      </c>
      <c r="H115" s="10" t="s">
        <v>265</v>
      </c>
      <c r="I115" s="11" t="s">
        <v>58</v>
      </c>
      <c r="J115" s="12">
        <v>45541</v>
      </c>
      <c r="K115" s="13" t="s">
        <v>93</v>
      </c>
      <c r="L115" s="14">
        <v>775402010001813</v>
      </c>
      <c r="M115" s="14" t="s">
        <v>94</v>
      </c>
      <c r="N115" s="14">
        <v>101058497967</v>
      </c>
      <c r="O115" s="13">
        <v>3813341906</v>
      </c>
      <c r="P115" s="15">
        <v>0</v>
      </c>
      <c r="Q115" s="16" t="s">
        <v>62</v>
      </c>
      <c r="R115" s="17">
        <v>489.5</v>
      </c>
      <c r="S115" s="18">
        <f t="shared" si="19"/>
        <v>7342.5</v>
      </c>
      <c r="T115" s="8">
        <v>13.5</v>
      </c>
      <c r="U115" s="19">
        <v>0</v>
      </c>
      <c r="V115" s="19">
        <v>28.5</v>
      </c>
      <c r="W115" s="19">
        <v>2.5</v>
      </c>
      <c r="X115" s="19">
        <v>0</v>
      </c>
      <c r="Y115" s="19">
        <v>3</v>
      </c>
      <c r="Z115" s="19">
        <v>9</v>
      </c>
      <c r="AA115" s="20">
        <f t="shared" si="20"/>
        <v>13.5</v>
      </c>
      <c r="AB115" s="21">
        <f t="shared" si="21"/>
        <v>28</v>
      </c>
      <c r="AC115" s="22">
        <f t="shared" si="22"/>
        <v>6608.25</v>
      </c>
      <c r="AD115" s="22">
        <f t="shared" si="23"/>
        <v>0</v>
      </c>
      <c r="AE115" s="18">
        <f t="shared" si="24"/>
        <v>3487.6875</v>
      </c>
      <c r="AF115" s="18">
        <v>0</v>
      </c>
      <c r="AG115" s="18">
        <f>VLOOKUP(D115,[2]Sheet1!$B$3:$D$50,3,0)</f>
        <v>11448</v>
      </c>
      <c r="AH115" s="23">
        <f t="shared" si="32"/>
        <v>21543.9375</v>
      </c>
      <c r="AI115" s="18">
        <v>0</v>
      </c>
      <c r="AJ115" s="18">
        <f>VLOOKUP(D115,[1]Sheet1!$D$6:$DR$155,119,0)</f>
        <v>0</v>
      </c>
      <c r="AK115" s="18">
        <f>VLOOKUP(D115,[1]Sheet1!$D$6:$DQ$155,118,0)</f>
        <v>0</v>
      </c>
      <c r="AL115" s="23">
        <f t="shared" si="26"/>
        <v>21543.9375</v>
      </c>
      <c r="AM115" s="24">
        <f t="shared" si="27"/>
        <v>1800</v>
      </c>
      <c r="AN115" s="24">
        <f t="shared" si="28"/>
        <v>161.57953125</v>
      </c>
      <c r="AO115" s="24">
        <f t="shared" si="29"/>
        <v>200</v>
      </c>
      <c r="AP115" s="24">
        <f t="shared" si="16"/>
        <v>1950</v>
      </c>
      <c r="AQ115" s="24">
        <f t="shared" si="17"/>
        <v>700</v>
      </c>
      <c r="AR115" s="24">
        <f t="shared" si="30"/>
        <v>19382.357968749999</v>
      </c>
      <c r="AS115" s="25" t="s">
        <v>63</v>
      </c>
      <c r="AT115" s="26">
        <v>0</v>
      </c>
    </row>
    <row r="116" spans="1:46" ht="30" x14ac:dyDescent="0.25">
      <c r="A116" s="7">
        <v>112</v>
      </c>
      <c r="B116" s="8" t="str">
        <f t="shared" si="18"/>
        <v>CFCP0749</v>
      </c>
      <c r="C116" s="8" t="s">
        <v>52</v>
      </c>
      <c r="D116" s="8" t="s">
        <v>412</v>
      </c>
      <c r="E116" s="9" t="s">
        <v>413</v>
      </c>
      <c r="F116" s="8" t="s">
        <v>239</v>
      </c>
      <c r="G116" s="8" t="s">
        <v>240</v>
      </c>
      <c r="H116" s="10" t="s">
        <v>265</v>
      </c>
      <c r="I116" s="11" t="s">
        <v>58</v>
      </c>
      <c r="J116" s="12">
        <v>45542</v>
      </c>
      <c r="K116" s="13" t="s">
        <v>93</v>
      </c>
      <c r="L116" s="14" t="s">
        <v>414</v>
      </c>
      <c r="M116" s="14" t="s">
        <v>94</v>
      </c>
      <c r="N116" s="14">
        <v>102036835191</v>
      </c>
      <c r="O116" s="13">
        <v>3813010886</v>
      </c>
      <c r="P116" s="15">
        <v>0</v>
      </c>
      <c r="Q116" s="16" t="s">
        <v>62</v>
      </c>
      <c r="R116" s="17">
        <v>489.5</v>
      </c>
      <c r="S116" s="18">
        <f t="shared" si="19"/>
        <v>7342.5</v>
      </c>
      <c r="T116" s="8">
        <v>1</v>
      </c>
      <c r="U116" s="19">
        <v>0</v>
      </c>
      <c r="V116" s="19">
        <v>4</v>
      </c>
      <c r="W116" s="19">
        <v>2</v>
      </c>
      <c r="X116" s="19">
        <v>0</v>
      </c>
      <c r="Y116" s="19">
        <v>0</v>
      </c>
      <c r="Z116" s="19">
        <v>25</v>
      </c>
      <c r="AA116" s="20">
        <f t="shared" si="20"/>
        <v>1</v>
      </c>
      <c r="AB116" s="21">
        <f t="shared" si="21"/>
        <v>28</v>
      </c>
      <c r="AC116" s="22">
        <f t="shared" si="22"/>
        <v>489.5</v>
      </c>
      <c r="AD116" s="22">
        <f t="shared" si="23"/>
        <v>0</v>
      </c>
      <c r="AE116" s="18">
        <f t="shared" si="24"/>
        <v>489.5</v>
      </c>
      <c r="AF116" s="18">
        <v>0</v>
      </c>
      <c r="AG116" s="18">
        <f>VLOOKUP(D116,[2]Sheet1!$B$3:$D$50,3,0)</f>
        <v>22524</v>
      </c>
      <c r="AH116" s="23">
        <f t="shared" si="32"/>
        <v>23503</v>
      </c>
      <c r="AI116" s="18">
        <v>0</v>
      </c>
      <c r="AJ116" s="18">
        <f>VLOOKUP(D116,[1]Sheet1!$D$6:$DR$155,119,0)</f>
        <v>0</v>
      </c>
      <c r="AK116" s="18">
        <f>VLOOKUP(D116,[1]Sheet1!$D$6:$DQ$155,118,0)</f>
        <v>0</v>
      </c>
      <c r="AL116" s="23">
        <f t="shared" si="26"/>
        <v>23503</v>
      </c>
      <c r="AM116" s="24">
        <f t="shared" si="27"/>
        <v>1800</v>
      </c>
      <c r="AN116" s="24">
        <f t="shared" si="28"/>
        <v>176.27249999999998</v>
      </c>
      <c r="AO116" s="24">
        <f t="shared" si="29"/>
        <v>200</v>
      </c>
      <c r="AP116" s="24">
        <f t="shared" si="16"/>
        <v>1950</v>
      </c>
      <c r="AQ116" s="24">
        <f t="shared" si="17"/>
        <v>764</v>
      </c>
      <c r="AR116" s="24">
        <f t="shared" si="30"/>
        <v>21326.727500000001</v>
      </c>
      <c r="AS116" s="25" t="s">
        <v>63</v>
      </c>
      <c r="AT116" s="26">
        <v>0</v>
      </c>
    </row>
    <row r="117" spans="1:46" ht="30" x14ac:dyDescent="0.25">
      <c r="A117" s="7">
        <v>113</v>
      </c>
      <c r="B117" s="8" t="str">
        <f t="shared" si="18"/>
        <v>CFCP0342</v>
      </c>
      <c r="C117" s="8" t="s">
        <v>52</v>
      </c>
      <c r="D117" s="8" t="s">
        <v>415</v>
      </c>
      <c r="E117" s="9" t="s">
        <v>416</v>
      </c>
      <c r="F117" s="8" t="s">
        <v>239</v>
      </c>
      <c r="G117" s="8" t="s">
        <v>245</v>
      </c>
      <c r="H117" s="10" t="s">
        <v>300</v>
      </c>
      <c r="I117" s="11" t="s">
        <v>58</v>
      </c>
      <c r="J117" s="12">
        <v>44348</v>
      </c>
      <c r="K117" s="13" t="s">
        <v>93</v>
      </c>
      <c r="L117" s="14">
        <v>647702010003626</v>
      </c>
      <c r="M117" s="14" t="s">
        <v>94</v>
      </c>
      <c r="N117" s="14">
        <v>101449270421</v>
      </c>
      <c r="O117" s="13">
        <v>3811416887</v>
      </c>
      <c r="P117" s="15">
        <v>0</v>
      </c>
      <c r="Q117" s="16" t="s">
        <v>62</v>
      </c>
      <c r="R117" s="17">
        <v>489.5</v>
      </c>
      <c r="S117" s="18">
        <f t="shared" si="19"/>
        <v>7342.5</v>
      </c>
      <c r="T117" s="8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28</v>
      </c>
      <c r="AA117" s="20">
        <f t="shared" si="20"/>
        <v>0</v>
      </c>
      <c r="AB117" s="21">
        <f t="shared" si="21"/>
        <v>28</v>
      </c>
      <c r="AC117" s="22">
        <f t="shared" si="22"/>
        <v>0</v>
      </c>
      <c r="AD117" s="22">
        <f t="shared" si="23"/>
        <v>0</v>
      </c>
      <c r="AE117" s="18">
        <f t="shared" si="24"/>
        <v>0</v>
      </c>
      <c r="AF117" s="18">
        <v>0</v>
      </c>
      <c r="AG117" s="18">
        <f>VLOOKUP(D117,[2]Sheet1!$B$51:$D$61,3,0)</f>
        <v>33104.82</v>
      </c>
      <c r="AH117" s="23">
        <f t="shared" si="32"/>
        <v>33104.82</v>
      </c>
      <c r="AI117" s="18">
        <v>0</v>
      </c>
      <c r="AJ117" s="18">
        <f>VLOOKUP(D117,[1]Sheet1!$D$6:$DR$155,119,0)</f>
        <v>0</v>
      </c>
      <c r="AK117" s="18">
        <f>VLOOKUP(D117,[1]Sheet1!$D$6:$DQ$155,118,0)</f>
        <v>0</v>
      </c>
      <c r="AL117" s="23">
        <f t="shared" si="26"/>
        <v>33104.82</v>
      </c>
      <c r="AM117" s="24">
        <f t="shared" si="27"/>
        <v>1800</v>
      </c>
      <c r="AN117" s="24">
        <f t="shared" si="28"/>
        <v>248.28614999999999</v>
      </c>
      <c r="AO117" s="24">
        <f t="shared" si="29"/>
        <v>200</v>
      </c>
      <c r="AP117" s="24">
        <f t="shared" si="16"/>
        <v>1950</v>
      </c>
      <c r="AQ117" s="24">
        <f t="shared" si="17"/>
        <v>1076</v>
      </c>
      <c r="AR117" s="24">
        <f t="shared" si="30"/>
        <v>30856.53385</v>
      </c>
      <c r="AS117" s="25" t="s">
        <v>63</v>
      </c>
      <c r="AT117" s="26">
        <v>0</v>
      </c>
    </row>
    <row r="118" spans="1:46" ht="30" x14ac:dyDescent="0.25">
      <c r="A118" s="7">
        <v>114</v>
      </c>
      <c r="B118" s="8" t="str">
        <f t="shared" si="18"/>
        <v>CFCP0320</v>
      </c>
      <c r="C118" s="8" t="s">
        <v>52</v>
      </c>
      <c r="D118" s="8" t="s">
        <v>417</v>
      </c>
      <c r="E118" s="9" t="s">
        <v>418</v>
      </c>
      <c r="F118" s="8" t="s">
        <v>239</v>
      </c>
      <c r="G118" s="8" t="s">
        <v>245</v>
      </c>
      <c r="H118" s="10" t="s">
        <v>300</v>
      </c>
      <c r="I118" s="11" t="s">
        <v>58</v>
      </c>
      <c r="J118" s="12">
        <v>43497</v>
      </c>
      <c r="K118" s="13" t="s">
        <v>93</v>
      </c>
      <c r="L118" s="14">
        <v>647702010003622</v>
      </c>
      <c r="M118" s="14" t="s">
        <v>94</v>
      </c>
      <c r="N118" s="14">
        <v>101449270413</v>
      </c>
      <c r="O118" s="13">
        <v>3811416873</v>
      </c>
      <c r="P118" s="15">
        <v>0</v>
      </c>
      <c r="Q118" s="16" t="s">
        <v>62</v>
      </c>
      <c r="R118" s="17">
        <v>489.5</v>
      </c>
      <c r="S118" s="18">
        <f t="shared" si="19"/>
        <v>7342.5</v>
      </c>
      <c r="T118" s="8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1</v>
      </c>
      <c r="Z118" s="19">
        <v>27</v>
      </c>
      <c r="AA118" s="20">
        <f t="shared" si="20"/>
        <v>0</v>
      </c>
      <c r="AB118" s="21">
        <f t="shared" si="21"/>
        <v>28</v>
      </c>
      <c r="AC118" s="22">
        <f t="shared" si="22"/>
        <v>0</v>
      </c>
      <c r="AD118" s="22">
        <f t="shared" si="23"/>
        <v>0</v>
      </c>
      <c r="AE118" s="18">
        <f t="shared" si="24"/>
        <v>0</v>
      </c>
      <c r="AF118" s="18">
        <v>0</v>
      </c>
      <c r="AG118" s="18">
        <f>VLOOKUP(D118,[2]Sheet1!$B$51:$D$61,3,0)</f>
        <v>31025.200000000001</v>
      </c>
      <c r="AH118" s="23">
        <f t="shared" si="32"/>
        <v>31025.200000000001</v>
      </c>
      <c r="AI118" s="18">
        <v>0</v>
      </c>
      <c r="AJ118" s="18">
        <f>VLOOKUP(D118,[1]Sheet1!$D$6:$DR$155,119,0)</f>
        <v>0</v>
      </c>
      <c r="AK118" s="18">
        <f>VLOOKUP(D118,[1]Sheet1!$D$6:$DQ$155,118,0)</f>
        <v>0</v>
      </c>
      <c r="AL118" s="23">
        <f t="shared" si="26"/>
        <v>31025.200000000001</v>
      </c>
      <c r="AM118" s="24">
        <f t="shared" si="27"/>
        <v>1800</v>
      </c>
      <c r="AN118" s="24">
        <f t="shared" si="28"/>
        <v>232.68899999999999</v>
      </c>
      <c r="AO118" s="24">
        <f t="shared" si="29"/>
        <v>200</v>
      </c>
      <c r="AP118" s="24">
        <f t="shared" si="16"/>
        <v>1950</v>
      </c>
      <c r="AQ118" s="24">
        <f t="shared" si="17"/>
        <v>1008</v>
      </c>
      <c r="AR118" s="24">
        <f t="shared" si="30"/>
        <v>28792.510999999999</v>
      </c>
      <c r="AS118" s="25" t="s">
        <v>63</v>
      </c>
      <c r="AT118" s="26">
        <v>0</v>
      </c>
    </row>
    <row r="119" spans="1:46" ht="30" x14ac:dyDescent="0.25">
      <c r="A119" s="7">
        <v>115</v>
      </c>
      <c r="B119" s="8" t="str">
        <f t="shared" si="18"/>
        <v>CFCP0787</v>
      </c>
      <c r="C119" s="8" t="s">
        <v>52</v>
      </c>
      <c r="D119" s="8" t="s">
        <v>419</v>
      </c>
      <c r="E119" s="9" t="s">
        <v>420</v>
      </c>
      <c r="F119" s="8" t="s">
        <v>239</v>
      </c>
      <c r="G119" s="8" t="s">
        <v>240</v>
      </c>
      <c r="H119" s="10" t="s">
        <v>214</v>
      </c>
      <c r="I119" s="11" t="s">
        <v>58</v>
      </c>
      <c r="J119" s="12">
        <v>45367</v>
      </c>
      <c r="K119" s="13" t="s">
        <v>69</v>
      </c>
      <c r="L119" s="14" t="s">
        <v>421</v>
      </c>
      <c r="M119" s="14" t="s">
        <v>71</v>
      </c>
      <c r="N119" s="14">
        <v>102056286815</v>
      </c>
      <c r="O119" s="13">
        <v>3813072527</v>
      </c>
      <c r="P119" s="15">
        <v>0</v>
      </c>
      <c r="Q119" s="16" t="s">
        <v>62</v>
      </c>
      <c r="R119" s="17">
        <v>489.5</v>
      </c>
      <c r="S119" s="18">
        <f t="shared" si="19"/>
        <v>7342.5</v>
      </c>
      <c r="T119" s="8">
        <v>1</v>
      </c>
      <c r="U119" s="19">
        <v>0</v>
      </c>
      <c r="V119" s="19">
        <v>15</v>
      </c>
      <c r="W119" s="19">
        <v>1</v>
      </c>
      <c r="X119" s="19">
        <v>0</v>
      </c>
      <c r="Y119" s="19">
        <v>1</v>
      </c>
      <c r="Z119" s="19">
        <v>25</v>
      </c>
      <c r="AA119" s="20">
        <f t="shared" si="20"/>
        <v>1</v>
      </c>
      <c r="AB119" s="21">
        <f t="shared" si="21"/>
        <v>28</v>
      </c>
      <c r="AC119" s="22">
        <f t="shared" si="22"/>
        <v>489.5</v>
      </c>
      <c r="AD119" s="22">
        <f t="shared" si="23"/>
        <v>0</v>
      </c>
      <c r="AE119" s="18">
        <f t="shared" si="24"/>
        <v>1835.625</v>
      </c>
      <c r="AF119" s="18">
        <v>0</v>
      </c>
      <c r="AG119" s="18">
        <f>VLOOKUP(D119,[2]Sheet1!$B$3:$D$50,3,0)</f>
        <v>27868.449999999997</v>
      </c>
      <c r="AH119" s="23">
        <f t="shared" si="32"/>
        <v>30193.574999999997</v>
      </c>
      <c r="AI119" s="18">
        <v>0</v>
      </c>
      <c r="AJ119" s="18">
        <f>VLOOKUP(D119,[1]Sheet1!$D$6:$DR$155,119,0)</f>
        <v>0</v>
      </c>
      <c r="AK119" s="18">
        <f>VLOOKUP(D119,[1]Sheet1!$D$6:$DQ$155,118,0)</f>
        <v>0</v>
      </c>
      <c r="AL119" s="23">
        <f t="shared" si="26"/>
        <v>30193.574999999997</v>
      </c>
      <c r="AM119" s="24">
        <f t="shared" si="27"/>
        <v>1800</v>
      </c>
      <c r="AN119" s="24">
        <f t="shared" si="28"/>
        <v>226.45181249999996</v>
      </c>
      <c r="AO119" s="24">
        <f t="shared" si="29"/>
        <v>200</v>
      </c>
      <c r="AP119" s="24">
        <f t="shared" si="16"/>
        <v>1950</v>
      </c>
      <c r="AQ119" s="24">
        <f t="shared" si="17"/>
        <v>981</v>
      </c>
      <c r="AR119" s="24">
        <f t="shared" si="30"/>
        <v>27967.123187499998</v>
      </c>
      <c r="AS119" s="25" t="s">
        <v>63</v>
      </c>
      <c r="AT119" s="26">
        <v>0</v>
      </c>
    </row>
    <row r="120" spans="1:46" ht="30" x14ac:dyDescent="0.25">
      <c r="A120" s="7">
        <v>116</v>
      </c>
      <c r="B120" s="8" t="str">
        <f t="shared" si="18"/>
        <v>CFCP0811</v>
      </c>
      <c r="C120" s="8" t="s">
        <v>52</v>
      </c>
      <c r="D120" s="8" t="s">
        <v>422</v>
      </c>
      <c r="E120" s="9" t="s">
        <v>423</v>
      </c>
      <c r="F120" s="8" t="s">
        <v>239</v>
      </c>
      <c r="G120" s="8" t="s">
        <v>240</v>
      </c>
      <c r="H120" s="10" t="s">
        <v>265</v>
      </c>
      <c r="I120" s="11" t="s">
        <v>58</v>
      </c>
      <c r="J120" s="12">
        <v>45441</v>
      </c>
      <c r="K120" s="13" t="s">
        <v>69</v>
      </c>
      <c r="L120" s="14" t="s">
        <v>424</v>
      </c>
      <c r="M120" s="14" t="s">
        <v>71</v>
      </c>
      <c r="N120" s="14">
        <v>101541743653</v>
      </c>
      <c r="O120" s="13">
        <v>3813133135</v>
      </c>
      <c r="P120" s="15">
        <v>0</v>
      </c>
      <c r="Q120" s="16" t="s">
        <v>62</v>
      </c>
      <c r="R120" s="17">
        <v>489.5</v>
      </c>
      <c r="S120" s="18">
        <f t="shared" si="19"/>
        <v>7342.5</v>
      </c>
      <c r="T120" s="8">
        <v>21</v>
      </c>
      <c r="U120" s="19">
        <v>0</v>
      </c>
      <c r="V120" s="19">
        <v>62.5</v>
      </c>
      <c r="W120" s="19">
        <v>3</v>
      </c>
      <c r="X120" s="19">
        <v>0</v>
      </c>
      <c r="Y120" s="19">
        <v>4</v>
      </c>
      <c r="Z120" s="19">
        <v>0</v>
      </c>
      <c r="AA120" s="20">
        <f t="shared" si="20"/>
        <v>21</v>
      </c>
      <c r="AB120" s="21">
        <f t="shared" si="21"/>
        <v>28</v>
      </c>
      <c r="AC120" s="22">
        <f t="shared" si="22"/>
        <v>10279.5</v>
      </c>
      <c r="AD120" s="22">
        <f t="shared" si="23"/>
        <v>0</v>
      </c>
      <c r="AE120" s="18">
        <f t="shared" si="24"/>
        <v>7648.4375</v>
      </c>
      <c r="AF120" s="18">
        <v>0</v>
      </c>
      <c r="AG120" s="18">
        <v>0</v>
      </c>
      <c r="AH120" s="23">
        <f t="shared" si="32"/>
        <v>17927.9375</v>
      </c>
      <c r="AI120" s="18">
        <v>0</v>
      </c>
      <c r="AJ120" s="18">
        <f>VLOOKUP(D120,[1]Sheet1!$D$6:$DR$155,119,0)</f>
        <v>400</v>
      </c>
      <c r="AK120" s="18">
        <f>VLOOKUP(D120,[1]Sheet1!$D$6:$DQ$155,118,0)</f>
        <v>0</v>
      </c>
      <c r="AL120" s="23">
        <f t="shared" si="26"/>
        <v>17527.9375</v>
      </c>
      <c r="AM120" s="24">
        <f t="shared" si="27"/>
        <v>1800</v>
      </c>
      <c r="AN120" s="24">
        <f t="shared" si="28"/>
        <v>134.45953125</v>
      </c>
      <c r="AO120" s="24">
        <f t="shared" si="29"/>
        <v>200</v>
      </c>
      <c r="AP120" s="24">
        <f t="shared" si="16"/>
        <v>1950</v>
      </c>
      <c r="AQ120" s="24">
        <f t="shared" si="17"/>
        <v>583</v>
      </c>
      <c r="AR120" s="24">
        <f t="shared" si="30"/>
        <v>15393.477968749999</v>
      </c>
      <c r="AS120" s="25" t="s">
        <v>63</v>
      </c>
      <c r="AT120" s="26">
        <v>0</v>
      </c>
    </row>
    <row r="121" spans="1:46" ht="30" x14ac:dyDescent="0.25">
      <c r="A121" s="7">
        <v>117</v>
      </c>
      <c r="B121" s="8" t="str">
        <f t="shared" si="18"/>
        <v>CFCP0789</v>
      </c>
      <c r="C121" s="8" t="s">
        <v>52</v>
      </c>
      <c r="D121" s="8" t="s">
        <v>425</v>
      </c>
      <c r="E121" s="9" t="s">
        <v>426</v>
      </c>
      <c r="F121" s="8" t="s">
        <v>239</v>
      </c>
      <c r="G121" s="8" t="s">
        <v>240</v>
      </c>
      <c r="H121" s="10" t="s">
        <v>318</v>
      </c>
      <c r="I121" s="11" t="s">
        <v>58</v>
      </c>
      <c r="J121" s="12">
        <v>45364</v>
      </c>
      <c r="K121" s="13" t="s">
        <v>69</v>
      </c>
      <c r="L121" s="14" t="s">
        <v>427</v>
      </c>
      <c r="M121" s="14" t="s">
        <v>71</v>
      </c>
      <c r="N121" s="14">
        <v>102056286836</v>
      </c>
      <c r="O121" s="13">
        <v>3813072524</v>
      </c>
      <c r="P121" s="15">
        <v>0</v>
      </c>
      <c r="Q121" s="16" t="s">
        <v>62</v>
      </c>
      <c r="R121" s="17">
        <v>489.5</v>
      </c>
      <c r="S121" s="18">
        <f t="shared" si="19"/>
        <v>7342.5</v>
      </c>
      <c r="T121" s="8">
        <v>24</v>
      </c>
      <c r="U121" s="19">
        <v>0</v>
      </c>
      <c r="V121" s="19">
        <v>64.2</v>
      </c>
      <c r="W121" s="19">
        <v>0</v>
      </c>
      <c r="X121" s="19">
        <v>0</v>
      </c>
      <c r="Y121" s="19">
        <v>4</v>
      </c>
      <c r="Z121" s="19">
        <v>0</v>
      </c>
      <c r="AA121" s="20">
        <f t="shared" si="20"/>
        <v>24</v>
      </c>
      <c r="AB121" s="21">
        <f t="shared" si="21"/>
        <v>28</v>
      </c>
      <c r="AC121" s="22">
        <f t="shared" si="22"/>
        <v>11748</v>
      </c>
      <c r="AD121" s="22">
        <f t="shared" si="23"/>
        <v>0</v>
      </c>
      <c r="AE121" s="18">
        <f t="shared" si="24"/>
        <v>7856.4750000000004</v>
      </c>
      <c r="AF121" s="18">
        <v>0</v>
      </c>
      <c r="AG121" s="18">
        <v>0</v>
      </c>
      <c r="AH121" s="23">
        <f t="shared" si="32"/>
        <v>19604.474999999999</v>
      </c>
      <c r="AI121" s="18">
        <v>0</v>
      </c>
      <c r="AJ121" s="18">
        <f>VLOOKUP(D121,[1]Sheet1!$D$6:$DR$155,119,0)</f>
        <v>0</v>
      </c>
      <c r="AK121" s="18">
        <f>VLOOKUP(D121,[1]Sheet1!$D$6:$DQ$155,118,0)</f>
        <v>0</v>
      </c>
      <c r="AL121" s="23">
        <f t="shared" si="26"/>
        <v>19604.474999999999</v>
      </c>
      <c r="AM121" s="24">
        <f t="shared" si="27"/>
        <v>1800</v>
      </c>
      <c r="AN121" s="24">
        <f t="shared" si="28"/>
        <v>147.03356249999999</v>
      </c>
      <c r="AO121" s="24">
        <f t="shared" si="29"/>
        <v>200</v>
      </c>
      <c r="AP121" s="24">
        <f t="shared" si="16"/>
        <v>1950</v>
      </c>
      <c r="AQ121" s="24">
        <f t="shared" si="17"/>
        <v>637</v>
      </c>
      <c r="AR121" s="24">
        <f t="shared" si="30"/>
        <v>17457.441437499998</v>
      </c>
      <c r="AS121" s="25" t="s">
        <v>63</v>
      </c>
      <c r="AT121" s="26">
        <v>0</v>
      </c>
    </row>
    <row r="122" spans="1:46" ht="30" x14ac:dyDescent="0.25">
      <c r="A122" s="7">
        <v>118</v>
      </c>
      <c r="B122" s="8" t="str">
        <f t="shared" si="18"/>
        <v>CFCP0407</v>
      </c>
      <c r="C122" s="8" t="s">
        <v>52</v>
      </c>
      <c r="D122" s="8" t="s">
        <v>428</v>
      </c>
      <c r="E122" s="9" t="s">
        <v>429</v>
      </c>
      <c r="F122" s="8" t="s">
        <v>239</v>
      </c>
      <c r="G122" s="8" t="s">
        <v>245</v>
      </c>
      <c r="H122" s="10" t="s">
        <v>300</v>
      </c>
      <c r="I122" s="11" t="s">
        <v>58</v>
      </c>
      <c r="J122" s="12">
        <v>44880</v>
      </c>
      <c r="K122" s="13" t="s">
        <v>93</v>
      </c>
      <c r="L122" s="14">
        <v>464802050001368</v>
      </c>
      <c r="M122" s="14" t="s">
        <v>169</v>
      </c>
      <c r="N122" s="14">
        <v>101541562840</v>
      </c>
      <c r="O122" s="13">
        <v>3811653376</v>
      </c>
      <c r="P122" s="15">
        <v>0</v>
      </c>
      <c r="Q122" s="16" t="s">
        <v>62</v>
      </c>
      <c r="R122" s="17">
        <v>489.5</v>
      </c>
      <c r="S122" s="18">
        <f t="shared" si="19"/>
        <v>7342.5</v>
      </c>
      <c r="T122" s="8">
        <v>0</v>
      </c>
      <c r="U122" s="19">
        <v>0</v>
      </c>
      <c r="V122" s="19">
        <v>0</v>
      </c>
      <c r="W122" s="19">
        <v>1</v>
      </c>
      <c r="X122" s="19">
        <v>0</v>
      </c>
      <c r="Y122" s="19">
        <v>0</v>
      </c>
      <c r="Z122" s="19">
        <v>27</v>
      </c>
      <c r="AA122" s="20">
        <f t="shared" si="20"/>
        <v>0</v>
      </c>
      <c r="AB122" s="21">
        <f t="shared" si="21"/>
        <v>28</v>
      </c>
      <c r="AC122" s="22">
        <f t="shared" si="22"/>
        <v>0</v>
      </c>
      <c r="AD122" s="22">
        <f t="shared" si="23"/>
        <v>0</v>
      </c>
      <c r="AE122" s="18">
        <f t="shared" si="24"/>
        <v>0</v>
      </c>
      <c r="AF122" s="18">
        <v>0</v>
      </c>
      <c r="AG122" s="18">
        <f>VLOOKUP(D122,[2]Sheet1!$B$51:$D$61,3,0)</f>
        <v>30527.42</v>
      </c>
      <c r="AH122" s="23">
        <f t="shared" si="32"/>
        <v>30527.42</v>
      </c>
      <c r="AI122" s="18">
        <v>0</v>
      </c>
      <c r="AJ122" s="18">
        <f>VLOOKUP(D122,[1]Sheet1!$D$6:$DR$155,119,0)</f>
        <v>0</v>
      </c>
      <c r="AK122" s="18">
        <f>VLOOKUP(D122,[1]Sheet1!$D$6:$DQ$155,118,0)</f>
        <v>0</v>
      </c>
      <c r="AL122" s="23">
        <f t="shared" si="26"/>
        <v>30527.42</v>
      </c>
      <c r="AM122" s="24">
        <f t="shared" si="27"/>
        <v>1800</v>
      </c>
      <c r="AN122" s="24">
        <f t="shared" si="28"/>
        <v>228.95564999999999</v>
      </c>
      <c r="AO122" s="24">
        <f t="shared" si="29"/>
        <v>200</v>
      </c>
      <c r="AP122" s="24">
        <f t="shared" si="16"/>
        <v>1950</v>
      </c>
      <c r="AQ122" s="24">
        <f t="shared" si="17"/>
        <v>992</v>
      </c>
      <c r="AR122" s="24">
        <f t="shared" si="30"/>
        <v>28298.464349999998</v>
      </c>
      <c r="AS122" s="25" t="s">
        <v>63</v>
      </c>
      <c r="AT122" s="26">
        <v>0</v>
      </c>
    </row>
    <row r="123" spans="1:46" ht="30" x14ac:dyDescent="0.25">
      <c r="A123" s="7">
        <v>119</v>
      </c>
      <c r="B123" s="8" t="str">
        <f t="shared" si="18"/>
        <v>SHE415</v>
      </c>
      <c r="C123" s="8" t="s">
        <v>52</v>
      </c>
      <c r="D123" s="8" t="s">
        <v>430</v>
      </c>
      <c r="E123" s="9" t="s">
        <v>431</v>
      </c>
      <c r="F123" s="8" t="s">
        <v>239</v>
      </c>
      <c r="G123" s="8" t="s">
        <v>240</v>
      </c>
      <c r="H123" s="10" t="s">
        <v>265</v>
      </c>
      <c r="I123" s="11" t="s">
        <v>58</v>
      </c>
      <c r="J123" s="12">
        <v>46015</v>
      </c>
      <c r="K123" s="13" t="s">
        <v>155</v>
      </c>
      <c r="L123" s="14">
        <v>38820100009838</v>
      </c>
      <c r="M123" s="14" t="s">
        <v>348</v>
      </c>
      <c r="N123" s="14">
        <v>102281779569</v>
      </c>
      <c r="O123" s="13">
        <v>3813659024</v>
      </c>
      <c r="P123" s="15">
        <v>0</v>
      </c>
      <c r="Q123" s="16" t="s">
        <v>62</v>
      </c>
      <c r="R123" s="17">
        <v>489.5</v>
      </c>
      <c r="S123" s="18">
        <f t="shared" si="19"/>
        <v>7342.5</v>
      </c>
      <c r="T123" s="8">
        <v>24</v>
      </c>
      <c r="U123" s="19">
        <v>0</v>
      </c>
      <c r="V123" s="19">
        <v>71</v>
      </c>
      <c r="W123" s="19">
        <v>0</v>
      </c>
      <c r="X123" s="19">
        <v>0</v>
      </c>
      <c r="Y123" s="19">
        <v>4</v>
      </c>
      <c r="Z123" s="19">
        <v>0</v>
      </c>
      <c r="AA123" s="20">
        <f t="shared" si="20"/>
        <v>24</v>
      </c>
      <c r="AB123" s="21">
        <f t="shared" si="21"/>
        <v>28</v>
      </c>
      <c r="AC123" s="22">
        <f t="shared" si="22"/>
        <v>11748</v>
      </c>
      <c r="AD123" s="22">
        <f t="shared" si="23"/>
        <v>0</v>
      </c>
      <c r="AE123" s="18">
        <f t="shared" si="24"/>
        <v>8688.625</v>
      </c>
      <c r="AF123" s="18">
        <v>0</v>
      </c>
      <c r="AG123" s="18">
        <v>0</v>
      </c>
      <c r="AH123" s="23">
        <f t="shared" si="32"/>
        <v>20436.625</v>
      </c>
      <c r="AI123" s="18">
        <v>0</v>
      </c>
      <c r="AJ123" s="18">
        <f>VLOOKUP(D123,[1]Sheet1!$D$6:$DR$155,119,0)</f>
        <v>0</v>
      </c>
      <c r="AK123" s="18">
        <f>VLOOKUP(D123,[1]Sheet1!$D$6:$DQ$155,118,0)</f>
        <v>0</v>
      </c>
      <c r="AL123" s="23">
        <f t="shared" si="26"/>
        <v>20436.625</v>
      </c>
      <c r="AM123" s="24">
        <f t="shared" si="27"/>
        <v>1800</v>
      </c>
      <c r="AN123" s="24">
        <f t="shared" si="28"/>
        <v>153.2746875</v>
      </c>
      <c r="AO123" s="24">
        <f t="shared" si="29"/>
        <v>200</v>
      </c>
      <c r="AP123" s="24">
        <f t="shared" si="16"/>
        <v>1950</v>
      </c>
      <c r="AQ123" s="24">
        <f t="shared" si="17"/>
        <v>664</v>
      </c>
      <c r="AR123" s="24">
        <f t="shared" si="30"/>
        <v>18283.350312499999</v>
      </c>
      <c r="AS123" s="25" t="s">
        <v>63</v>
      </c>
      <c r="AT123" s="26">
        <v>0</v>
      </c>
    </row>
    <row r="124" spans="1:46" ht="30" x14ac:dyDescent="0.25">
      <c r="A124" s="7">
        <v>120</v>
      </c>
      <c r="B124" s="8" t="str">
        <f t="shared" si="18"/>
        <v>SHE420</v>
      </c>
      <c r="C124" s="8" t="s">
        <v>52</v>
      </c>
      <c r="D124" s="8" t="s">
        <v>432</v>
      </c>
      <c r="E124" s="27" t="s">
        <v>433</v>
      </c>
      <c r="F124" s="8" t="s">
        <v>55</v>
      </c>
      <c r="G124" s="8" t="s">
        <v>434</v>
      </c>
      <c r="H124" s="10" t="s">
        <v>435</v>
      </c>
      <c r="I124" s="11" t="s">
        <v>58</v>
      </c>
      <c r="J124" s="12">
        <v>46023</v>
      </c>
      <c r="K124" s="13" t="s">
        <v>93</v>
      </c>
      <c r="L124" s="14">
        <v>673302120000159</v>
      </c>
      <c r="M124" s="14" t="s">
        <v>106</v>
      </c>
      <c r="N124" s="14" t="e">
        <f>VLOOKUP(E124,'[3]JAN-2026'!$B$84:$M$269,12,0)</f>
        <v>#REF!</v>
      </c>
      <c r="O124" s="13">
        <v>3811304974</v>
      </c>
      <c r="P124" s="15">
        <v>0</v>
      </c>
      <c r="Q124" s="16" t="s">
        <v>62</v>
      </c>
      <c r="R124" s="17">
        <v>489.5</v>
      </c>
      <c r="S124" s="18">
        <f t="shared" si="19"/>
        <v>7342.5</v>
      </c>
      <c r="T124" s="8">
        <v>0</v>
      </c>
      <c r="U124" s="19">
        <v>0</v>
      </c>
      <c r="V124" s="19">
        <v>0</v>
      </c>
      <c r="W124" s="19">
        <v>28</v>
      </c>
      <c r="X124" s="19">
        <v>0</v>
      </c>
      <c r="Y124" s="19">
        <v>0</v>
      </c>
      <c r="Z124" s="19">
        <v>0</v>
      </c>
      <c r="AA124" s="20">
        <f t="shared" si="20"/>
        <v>0</v>
      </c>
      <c r="AB124" s="21">
        <f t="shared" si="21"/>
        <v>28</v>
      </c>
      <c r="AC124" s="22">
        <f t="shared" si="22"/>
        <v>0</v>
      </c>
      <c r="AD124" s="22">
        <f t="shared" si="23"/>
        <v>0</v>
      </c>
      <c r="AE124" s="18">
        <f t="shared" si="24"/>
        <v>0</v>
      </c>
      <c r="AF124" s="18">
        <v>0</v>
      </c>
      <c r="AG124" s="18">
        <v>0</v>
      </c>
      <c r="AH124" s="23">
        <f t="shared" si="32"/>
        <v>0</v>
      </c>
      <c r="AI124" s="18">
        <v>0</v>
      </c>
      <c r="AJ124" s="18">
        <f>VLOOKUP(D124,[1]Sheet1!$D$6:$DR$155,119,0)</f>
        <v>0</v>
      </c>
      <c r="AK124" s="18">
        <f>VLOOKUP(D124,[1]Sheet1!$D$6:$DQ$155,118,0)</f>
        <v>0</v>
      </c>
      <c r="AL124" s="23">
        <f t="shared" si="26"/>
        <v>0</v>
      </c>
      <c r="AM124" s="24">
        <f t="shared" si="27"/>
        <v>0</v>
      </c>
      <c r="AN124" s="24">
        <f t="shared" si="28"/>
        <v>0</v>
      </c>
      <c r="AO124" s="24">
        <f t="shared" si="29"/>
        <v>0</v>
      </c>
      <c r="AP124" s="24">
        <f t="shared" si="16"/>
        <v>0</v>
      </c>
      <c r="AQ124" s="24">
        <f t="shared" si="17"/>
        <v>0</v>
      </c>
      <c r="AR124" s="24">
        <f t="shared" si="30"/>
        <v>0</v>
      </c>
      <c r="AS124" s="25" t="s">
        <v>63</v>
      </c>
      <c r="AT124" s="26">
        <v>0</v>
      </c>
    </row>
    <row r="125" spans="1:46" ht="30" x14ac:dyDescent="0.25">
      <c r="A125" s="7">
        <v>121</v>
      </c>
      <c r="B125" s="8" t="str">
        <f t="shared" si="18"/>
        <v>NUC0160</v>
      </c>
      <c r="C125" s="8" t="s">
        <v>64</v>
      </c>
      <c r="D125" s="8" t="s">
        <v>436</v>
      </c>
      <c r="E125" s="27" t="s">
        <v>437</v>
      </c>
      <c r="F125" s="8" t="s">
        <v>239</v>
      </c>
      <c r="G125" s="8" t="s">
        <v>240</v>
      </c>
      <c r="H125" s="10" t="s">
        <v>318</v>
      </c>
      <c r="I125" s="11" t="s">
        <v>58</v>
      </c>
      <c r="J125" s="12">
        <v>44926</v>
      </c>
      <c r="K125" s="13" t="s">
        <v>155</v>
      </c>
      <c r="L125" s="14">
        <v>59450100028814</v>
      </c>
      <c r="M125" s="14" t="s">
        <v>438</v>
      </c>
      <c r="N125" s="14" t="e">
        <f>VLOOKUP(E125,'[3]JAN-2026'!$B$84:$M$269,12,0)</f>
        <v>#REF!</v>
      </c>
      <c r="O125" s="13">
        <v>3811415396</v>
      </c>
      <c r="P125" s="15">
        <v>0</v>
      </c>
      <c r="Q125" s="16" t="s">
        <v>62</v>
      </c>
      <c r="R125" s="17">
        <v>489.5</v>
      </c>
      <c r="S125" s="18">
        <f t="shared" si="19"/>
        <v>7342.5</v>
      </c>
      <c r="T125" s="8">
        <v>7</v>
      </c>
      <c r="U125" s="19">
        <v>0</v>
      </c>
      <c r="V125" s="19">
        <v>38</v>
      </c>
      <c r="W125" s="19">
        <v>0</v>
      </c>
      <c r="X125" s="19">
        <v>0</v>
      </c>
      <c r="Y125" s="19">
        <v>2</v>
      </c>
      <c r="Z125" s="19">
        <v>19</v>
      </c>
      <c r="AA125" s="20">
        <f t="shared" si="20"/>
        <v>7</v>
      </c>
      <c r="AB125" s="21">
        <f t="shared" si="21"/>
        <v>28</v>
      </c>
      <c r="AC125" s="22">
        <f t="shared" si="22"/>
        <v>3426.5</v>
      </c>
      <c r="AD125" s="22">
        <f t="shared" si="23"/>
        <v>0</v>
      </c>
      <c r="AE125" s="18">
        <f t="shared" si="24"/>
        <v>4650.25</v>
      </c>
      <c r="AF125" s="18">
        <v>0</v>
      </c>
      <c r="AG125" s="18">
        <f>VLOOKUP(D125,[2]Sheet1!$B$3:$D$50,3,0)</f>
        <v>21419.899999999998</v>
      </c>
      <c r="AH125" s="23">
        <f>SUM(AC125:AG125)</f>
        <v>29496.649999999998</v>
      </c>
      <c r="AI125" s="18">
        <v>0</v>
      </c>
      <c r="AJ125" s="18">
        <f>VLOOKUP(D125,[1]Sheet1!$D$6:$DR$155,119,0)</f>
        <v>0</v>
      </c>
      <c r="AK125" s="18">
        <f>VLOOKUP(D125,[1]Sheet1!$D$6:$DQ$155,118,0)</f>
        <v>0</v>
      </c>
      <c r="AL125" s="23">
        <f t="shared" si="26"/>
        <v>29496.649999999998</v>
      </c>
      <c r="AM125" s="24">
        <f t="shared" si="27"/>
        <v>1800</v>
      </c>
      <c r="AN125" s="24">
        <f t="shared" si="28"/>
        <v>221.22487499999997</v>
      </c>
      <c r="AO125" s="24">
        <f t="shared" si="29"/>
        <v>200</v>
      </c>
      <c r="AP125" s="24">
        <f t="shared" si="16"/>
        <v>1950</v>
      </c>
      <c r="AQ125" s="24">
        <f t="shared" si="17"/>
        <v>959</v>
      </c>
      <c r="AR125" s="24">
        <f t="shared" si="30"/>
        <v>27275.425124999998</v>
      </c>
      <c r="AS125" s="25" t="s">
        <v>63</v>
      </c>
      <c r="AT125" s="26">
        <v>0</v>
      </c>
    </row>
    <row r="126" spans="1:46" ht="30" x14ac:dyDescent="0.25">
      <c r="A126" s="7">
        <v>122</v>
      </c>
      <c r="B126" s="8" t="str">
        <f t="shared" si="18"/>
        <v>SHE424</v>
      </c>
      <c r="C126" s="8" t="s">
        <v>52</v>
      </c>
      <c r="D126" s="28" t="s">
        <v>439</v>
      </c>
      <c r="E126" s="27" t="s">
        <v>440</v>
      </c>
      <c r="F126" s="8" t="s">
        <v>55</v>
      </c>
      <c r="G126" s="8" t="s">
        <v>125</v>
      </c>
      <c r="H126" s="10" t="s">
        <v>125</v>
      </c>
      <c r="I126" s="11" t="s">
        <v>58</v>
      </c>
      <c r="J126" s="12">
        <v>46038</v>
      </c>
      <c r="K126" s="13" t="s">
        <v>59</v>
      </c>
      <c r="L126" s="14">
        <v>3139010003503</v>
      </c>
      <c r="M126" s="14" t="s">
        <v>126</v>
      </c>
      <c r="N126" s="14" t="e">
        <f>VLOOKUP(E126,'[3]JAN-2026'!$B$84:$M$269,12,0)</f>
        <v>#REF!</v>
      </c>
      <c r="O126" s="13">
        <v>3813681477</v>
      </c>
      <c r="P126" s="15">
        <v>0</v>
      </c>
      <c r="Q126" s="16" t="s">
        <v>62</v>
      </c>
      <c r="R126" s="17">
        <v>489.5</v>
      </c>
      <c r="S126" s="18">
        <f t="shared" si="19"/>
        <v>7342.5</v>
      </c>
      <c r="T126" s="8">
        <v>21</v>
      </c>
      <c r="U126" s="19">
        <v>0</v>
      </c>
      <c r="V126" s="19">
        <v>0</v>
      </c>
      <c r="W126" s="19">
        <v>3</v>
      </c>
      <c r="X126" s="19">
        <v>0</v>
      </c>
      <c r="Y126" s="19">
        <v>4</v>
      </c>
      <c r="Z126" s="19">
        <v>0</v>
      </c>
      <c r="AA126" s="20">
        <f t="shared" si="20"/>
        <v>21</v>
      </c>
      <c r="AB126" s="21">
        <f t="shared" si="21"/>
        <v>28</v>
      </c>
      <c r="AC126" s="22">
        <f t="shared" si="22"/>
        <v>10279.5</v>
      </c>
      <c r="AD126" s="22">
        <f t="shared" si="23"/>
        <v>0</v>
      </c>
      <c r="AE126" s="18">
        <f t="shared" si="24"/>
        <v>0</v>
      </c>
      <c r="AF126" s="18">
        <v>0</v>
      </c>
      <c r="AG126" s="18">
        <v>0</v>
      </c>
      <c r="AH126" s="23">
        <f t="shared" si="32"/>
        <v>10279.5</v>
      </c>
      <c r="AI126" s="18">
        <v>0</v>
      </c>
      <c r="AJ126" s="18">
        <f>VLOOKUP(D126,[1]Sheet1!$D$6:$DR$155,119,0)</f>
        <v>0</v>
      </c>
      <c r="AK126" s="18">
        <f>VLOOKUP(D126,[1]Sheet1!$D$6:$DQ$155,118,0)</f>
        <v>0</v>
      </c>
      <c r="AL126" s="23">
        <f t="shared" si="26"/>
        <v>10279.5</v>
      </c>
      <c r="AM126" s="24">
        <f t="shared" si="27"/>
        <v>1233.54</v>
      </c>
      <c r="AN126" s="24">
        <f t="shared" si="28"/>
        <v>77.096249999999998</v>
      </c>
      <c r="AO126" s="24">
        <f t="shared" si="29"/>
        <v>0</v>
      </c>
      <c r="AP126" s="24">
        <f t="shared" si="16"/>
        <v>1336</v>
      </c>
      <c r="AQ126" s="24">
        <f t="shared" si="17"/>
        <v>334</v>
      </c>
      <c r="AR126" s="24">
        <f t="shared" si="30"/>
        <v>8968.8637500000004</v>
      </c>
      <c r="AS126" s="25" t="s">
        <v>63</v>
      </c>
      <c r="AT126" s="26">
        <v>0</v>
      </c>
    </row>
    <row r="127" spans="1:46" ht="30" x14ac:dyDescent="0.25">
      <c r="A127" s="7">
        <v>123</v>
      </c>
      <c r="B127" s="8" t="str">
        <f t="shared" si="18"/>
        <v>SHE425</v>
      </c>
      <c r="C127" s="8" t="s">
        <v>52</v>
      </c>
      <c r="D127" s="8" t="s">
        <v>441</v>
      </c>
      <c r="E127" s="27" t="s">
        <v>442</v>
      </c>
      <c r="F127" s="8" t="s">
        <v>55</v>
      </c>
      <c r="G127" s="8" t="s">
        <v>125</v>
      </c>
      <c r="H127" s="10" t="s">
        <v>125</v>
      </c>
      <c r="I127" s="11" t="s">
        <v>58</v>
      </c>
      <c r="J127" s="12">
        <v>46041</v>
      </c>
      <c r="K127" s="13" t="s">
        <v>59</v>
      </c>
      <c r="L127" s="14">
        <v>40978009402</v>
      </c>
      <c r="M127" s="14" t="s">
        <v>126</v>
      </c>
      <c r="N127" s="14" t="e">
        <f>VLOOKUP(E127,'[3]JAN-2026'!$B$84:$M$269,12,0)</f>
        <v>#REF!</v>
      </c>
      <c r="O127" s="13">
        <v>3813669558</v>
      </c>
      <c r="P127" s="15">
        <v>0</v>
      </c>
      <c r="Q127" s="16" t="s">
        <v>62</v>
      </c>
      <c r="R127" s="17">
        <v>489.5</v>
      </c>
      <c r="S127" s="18">
        <f t="shared" si="19"/>
        <v>7342.5</v>
      </c>
      <c r="T127" s="8">
        <v>0</v>
      </c>
      <c r="U127" s="19">
        <v>0</v>
      </c>
      <c r="V127" s="19">
        <v>0</v>
      </c>
      <c r="W127" s="19">
        <v>28</v>
      </c>
      <c r="X127" s="19">
        <v>0</v>
      </c>
      <c r="Y127" s="19">
        <v>0</v>
      </c>
      <c r="Z127" s="19">
        <v>0</v>
      </c>
      <c r="AA127" s="20">
        <f t="shared" si="20"/>
        <v>0</v>
      </c>
      <c r="AB127" s="21">
        <f t="shared" si="21"/>
        <v>28</v>
      </c>
      <c r="AC127" s="22">
        <f t="shared" si="22"/>
        <v>0</v>
      </c>
      <c r="AD127" s="22">
        <f t="shared" si="23"/>
        <v>0</v>
      </c>
      <c r="AE127" s="18">
        <f t="shared" si="24"/>
        <v>0</v>
      </c>
      <c r="AF127" s="18">
        <v>0</v>
      </c>
      <c r="AG127" s="18">
        <v>0</v>
      </c>
      <c r="AH127" s="23">
        <f t="shared" si="32"/>
        <v>0</v>
      </c>
      <c r="AI127" s="18">
        <v>0</v>
      </c>
      <c r="AJ127" s="18">
        <f>VLOOKUP(D127,[1]Sheet1!$D$6:$DR$155,119,0)</f>
        <v>0</v>
      </c>
      <c r="AK127" s="18">
        <f>VLOOKUP(D127,[1]Sheet1!$D$6:$DQ$155,118,0)</f>
        <v>0</v>
      </c>
      <c r="AL127" s="23">
        <f t="shared" si="26"/>
        <v>0</v>
      </c>
      <c r="AM127" s="24">
        <f t="shared" si="27"/>
        <v>0</v>
      </c>
      <c r="AN127" s="24">
        <f t="shared" si="28"/>
        <v>0</v>
      </c>
      <c r="AO127" s="24">
        <f t="shared" si="29"/>
        <v>0</v>
      </c>
      <c r="AP127" s="24">
        <f t="shared" si="16"/>
        <v>0</v>
      </c>
      <c r="AQ127" s="24">
        <f t="shared" si="17"/>
        <v>0</v>
      </c>
      <c r="AR127" s="24">
        <f t="shared" si="30"/>
        <v>0</v>
      </c>
      <c r="AS127" s="25" t="s">
        <v>63</v>
      </c>
      <c r="AT127" s="26">
        <v>0</v>
      </c>
    </row>
    <row r="128" spans="1:46" ht="30" x14ac:dyDescent="0.25">
      <c r="A128" s="7">
        <v>124</v>
      </c>
      <c r="B128" s="8" t="str">
        <f t="shared" si="18"/>
        <v>SHE426</v>
      </c>
      <c r="C128" s="8" t="s">
        <v>64</v>
      </c>
      <c r="D128" s="8" t="s">
        <v>443</v>
      </c>
      <c r="E128" s="27" t="s">
        <v>444</v>
      </c>
      <c r="F128" s="8" t="s">
        <v>55</v>
      </c>
      <c r="G128" s="8" t="s">
        <v>67</v>
      </c>
      <c r="H128" s="10" t="s">
        <v>84</v>
      </c>
      <c r="I128" s="11" t="s">
        <v>58</v>
      </c>
      <c r="J128" s="12">
        <v>46041</v>
      </c>
      <c r="K128" s="13" t="s">
        <v>93</v>
      </c>
      <c r="L128" s="14">
        <f>VLOOKUP(E128,[4]CMP!$E$1:$G$145,3,0)</f>
        <v>464802010064415</v>
      </c>
      <c r="M128" s="14" t="str">
        <f>VLOOKUP(E128,[4]CMP!$E$1:$H$145,4,0)</f>
        <v>UBIN0546488</v>
      </c>
      <c r="N128" s="14" t="e">
        <f>VLOOKUP(E128,'[3]JAN-2026'!$B$84:$M$269,12,0)</f>
        <v>#REF!</v>
      </c>
      <c r="O128" s="13">
        <v>3811374819</v>
      </c>
      <c r="P128" s="15">
        <v>0</v>
      </c>
      <c r="Q128" s="16" t="s">
        <v>62</v>
      </c>
      <c r="R128" s="17">
        <v>489.5</v>
      </c>
      <c r="S128" s="18">
        <f t="shared" si="19"/>
        <v>7342.5</v>
      </c>
      <c r="T128" s="8">
        <v>3</v>
      </c>
      <c r="U128" s="19">
        <v>0</v>
      </c>
      <c r="V128" s="19">
        <v>10</v>
      </c>
      <c r="W128" s="19">
        <v>0</v>
      </c>
      <c r="X128" s="19">
        <v>0</v>
      </c>
      <c r="Y128" s="19">
        <v>2</v>
      </c>
      <c r="Z128" s="19">
        <v>23</v>
      </c>
      <c r="AA128" s="20">
        <f t="shared" si="20"/>
        <v>3</v>
      </c>
      <c r="AB128" s="21">
        <f t="shared" si="21"/>
        <v>28</v>
      </c>
      <c r="AC128" s="22">
        <f t="shared" si="22"/>
        <v>1468.5</v>
      </c>
      <c r="AD128" s="22">
        <f t="shared" si="23"/>
        <v>0</v>
      </c>
      <c r="AE128" s="18">
        <f t="shared" si="24"/>
        <v>1223.75</v>
      </c>
      <c r="AF128" s="18">
        <v>0</v>
      </c>
      <c r="AG128" s="18">
        <f>VLOOKUP(D128,[2]Sheet1!$B$3:$D$50,3,0)</f>
        <v>26600</v>
      </c>
      <c r="AH128" s="23">
        <f t="shared" si="32"/>
        <v>29292.25</v>
      </c>
      <c r="AI128" s="18">
        <v>0</v>
      </c>
      <c r="AJ128" s="18">
        <f>VLOOKUP(D128,[1]Sheet1!$D$6:$DR$155,119,0)</f>
        <v>0</v>
      </c>
      <c r="AK128" s="18">
        <f>VLOOKUP(D128,[1]Sheet1!$D$6:$DQ$155,118,0)</f>
        <v>0</v>
      </c>
      <c r="AL128" s="23">
        <f t="shared" si="26"/>
        <v>29292.25</v>
      </c>
      <c r="AM128" s="24">
        <f t="shared" si="27"/>
        <v>1800</v>
      </c>
      <c r="AN128" s="24">
        <f t="shared" si="28"/>
        <v>219.69187499999998</v>
      </c>
      <c r="AO128" s="24">
        <f t="shared" si="29"/>
        <v>200</v>
      </c>
      <c r="AP128" s="24">
        <f t="shared" si="16"/>
        <v>1950</v>
      </c>
      <c r="AQ128" s="24">
        <f t="shared" si="17"/>
        <v>952</v>
      </c>
      <c r="AR128" s="24">
        <f t="shared" si="30"/>
        <v>27072.558125</v>
      </c>
      <c r="AS128" s="25" t="s">
        <v>63</v>
      </c>
      <c r="AT128" s="26">
        <v>0</v>
      </c>
    </row>
    <row r="129" spans="1:46" ht="30" x14ac:dyDescent="0.25">
      <c r="A129" s="7">
        <v>125</v>
      </c>
      <c r="B129" s="8" t="str">
        <f t="shared" si="18"/>
        <v>SHE427</v>
      </c>
      <c r="C129" s="8" t="s">
        <v>64</v>
      </c>
      <c r="D129" s="8" t="s">
        <v>445</v>
      </c>
      <c r="E129" s="27" t="s">
        <v>446</v>
      </c>
      <c r="F129" s="8" t="s">
        <v>55</v>
      </c>
      <c r="G129" s="8" t="s">
        <v>67</v>
      </c>
      <c r="H129" s="10" t="s">
        <v>84</v>
      </c>
      <c r="I129" s="11" t="s">
        <v>58</v>
      </c>
      <c r="J129" s="12">
        <v>46041</v>
      </c>
      <c r="K129" s="13" t="s">
        <v>93</v>
      </c>
      <c r="L129" s="14">
        <f>VLOOKUP(E129,[4]CMP!$E$1:$G$145,3,0)</f>
        <v>673302120000141</v>
      </c>
      <c r="M129" s="14" t="str">
        <f>VLOOKUP(E129,[4]CMP!$E$1:$H$145,4,0)</f>
        <v>UBIN0567337</v>
      </c>
      <c r="N129" s="14" t="e">
        <f>VLOOKUP(E129,'[3]JAN-2026'!$B$84:$M$269,12,0)</f>
        <v>#REF!</v>
      </c>
      <c r="O129" s="13">
        <v>3811374812</v>
      </c>
      <c r="P129" s="15">
        <v>0</v>
      </c>
      <c r="Q129" s="16" t="s">
        <v>62</v>
      </c>
      <c r="R129" s="17">
        <v>489.5</v>
      </c>
      <c r="S129" s="18">
        <f t="shared" si="19"/>
        <v>7342.5</v>
      </c>
      <c r="T129" s="8">
        <v>1</v>
      </c>
      <c r="U129" s="19">
        <v>0</v>
      </c>
      <c r="V129" s="19">
        <v>6.5</v>
      </c>
      <c r="W129" s="19">
        <v>0</v>
      </c>
      <c r="X129" s="19">
        <v>0</v>
      </c>
      <c r="Y129" s="19">
        <v>2</v>
      </c>
      <c r="Z129" s="19">
        <v>25</v>
      </c>
      <c r="AA129" s="20">
        <f t="shared" si="20"/>
        <v>1</v>
      </c>
      <c r="AB129" s="21">
        <f t="shared" si="21"/>
        <v>28</v>
      </c>
      <c r="AC129" s="22">
        <f t="shared" si="22"/>
        <v>489.5</v>
      </c>
      <c r="AD129" s="22">
        <f t="shared" si="23"/>
        <v>0</v>
      </c>
      <c r="AE129" s="18">
        <f t="shared" si="24"/>
        <v>795.4375</v>
      </c>
      <c r="AF129" s="18">
        <v>0</v>
      </c>
      <c r="AG129" s="18">
        <f>VLOOKUP(D129,[2]Sheet1!$B$3:$D$50,3,0)</f>
        <v>37165</v>
      </c>
      <c r="AH129" s="23">
        <f t="shared" si="32"/>
        <v>38449.9375</v>
      </c>
      <c r="AI129" s="18">
        <v>0</v>
      </c>
      <c r="AJ129" s="18">
        <f>VLOOKUP(D129,[1]Sheet1!$D$6:$DR$155,119,0)</f>
        <v>0</v>
      </c>
      <c r="AK129" s="18">
        <f>VLOOKUP(D129,[1]Sheet1!$D$6:$DQ$155,118,0)</f>
        <v>0</v>
      </c>
      <c r="AL129" s="23">
        <f t="shared" si="26"/>
        <v>38449.9375</v>
      </c>
      <c r="AM129" s="24">
        <f t="shared" si="27"/>
        <v>1800</v>
      </c>
      <c r="AN129" s="24">
        <f t="shared" si="28"/>
        <v>288.37453124999996</v>
      </c>
      <c r="AO129" s="24">
        <f t="shared" si="29"/>
        <v>200</v>
      </c>
      <c r="AP129" s="24">
        <f t="shared" si="16"/>
        <v>1950</v>
      </c>
      <c r="AQ129" s="24">
        <f t="shared" si="17"/>
        <v>1250</v>
      </c>
      <c r="AR129" s="24">
        <f t="shared" si="30"/>
        <v>36161.562968749997</v>
      </c>
      <c r="AS129" s="25" t="s">
        <v>63</v>
      </c>
      <c r="AT129" s="26">
        <v>0</v>
      </c>
    </row>
    <row r="130" spans="1:46" ht="30" x14ac:dyDescent="0.25">
      <c r="A130" s="7">
        <v>126</v>
      </c>
      <c r="B130" s="8" t="str">
        <f t="shared" si="18"/>
        <v>SHE429</v>
      </c>
      <c r="C130" s="8" t="s">
        <v>64</v>
      </c>
      <c r="D130" s="8" t="s">
        <v>447</v>
      </c>
      <c r="E130" s="27" t="s">
        <v>448</v>
      </c>
      <c r="F130" s="8" t="s">
        <v>55</v>
      </c>
      <c r="G130" s="8" t="s">
        <v>67</v>
      </c>
      <c r="H130" s="10" t="s">
        <v>144</v>
      </c>
      <c r="I130" s="11" t="s">
        <v>58</v>
      </c>
      <c r="J130" s="12">
        <v>46044</v>
      </c>
      <c r="K130" s="13" t="s">
        <v>93</v>
      </c>
      <c r="L130" s="14">
        <f>VLOOKUP(E130,[4]CMP!$E$1:$G$145,3,0)</f>
        <v>673302120000169</v>
      </c>
      <c r="M130" s="14" t="str">
        <f>VLOOKUP(E130,[4]CMP!$E$1:$H$145,4,0)</f>
        <v>UBIN0564770</v>
      </c>
      <c r="N130" s="14" t="e">
        <f>VLOOKUP(E130,'[3]JAN-2026'!$B$84:$M$269,12,0)</f>
        <v>#REF!</v>
      </c>
      <c r="O130" s="13">
        <v>3811460032</v>
      </c>
      <c r="P130" s="15">
        <v>0</v>
      </c>
      <c r="Q130" s="16" t="s">
        <v>62</v>
      </c>
      <c r="R130" s="17">
        <v>489.5</v>
      </c>
      <c r="S130" s="18">
        <f t="shared" si="19"/>
        <v>7342.5</v>
      </c>
      <c r="T130" s="8">
        <v>1</v>
      </c>
      <c r="U130" s="19">
        <v>0</v>
      </c>
      <c r="V130" s="19">
        <v>6.5</v>
      </c>
      <c r="W130" s="19">
        <v>0</v>
      </c>
      <c r="X130" s="19">
        <v>0</v>
      </c>
      <c r="Y130" s="19">
        <v>2</v>
      </c>
      <c r="Z130" s="19">
        <v>25</v>
      </c>
      <c r="AA130" s="20">
        <f t="shared" si="20"/>
        <v>1</v>
      </c>
      <c r="AB130" s="21">
        <f t="shared" si="21"/>
        <v>28</v>
      </c>
      <c r="AC130" s="22">
        <f t="shared" si="22"/>
        <v>489.5</v>
      </c>
      <c r="AD130" s="22">
        <f t="shared" si="23"/>
        <v>0</v>
      </c>
      <c r="AE130" s="18">
        <f t="shared" si="24"/>
        <v>795.4375</v>
      </c>
      <c r="AF130" s="18">
        <v>0</v>
      </c>
      <c r="AG130" s="18">
        <f>VLOOKUP(D130,[2]Sheet1!$B$3:$D$50,3,0)</f>
        <v>37200</v>
      </c>
      <c r="AH130" s="23">
        <f t="shared" si="32"/>
        <v>38484.9375</v>
      </c>
      <c r="AI130" s="18">
        <v>0</v>
      </c>
      <c r="AJ130" s="18">
        <f>VLOOKUP(D130,[1]Sheet1!$D$6:$DR$155,119,0)</f>
        <v>0</v>
      </c>
      <c r="AK130" s="18">
        <f>VLOOKUP(D130,[1]Sheet1!$D$6:$DQ$155,118,0)</f>
        <v>0</v>
      </c>
      <c r="AL130" s="23">
        <f t="shared" si="26"/>
        <v>38484.9375</v>
      </c>
      <c r="AM130" s="24">
        <f t="shared" si="27"/>
        <v>1800</v>
      </c>
      <c r="AN130" s="24">
        <f t="shared" si="28"/>
        <v>288.63703125000001</v>
      </c>
      <c r="AO130" s="24">
        <f t="shared" si="29"/>
        <v>200</v>
      </c>
      <c r="AP130" s="24">
        <f t="shared" si="16"/>
        <v>1950</v>
      </c>
      <c r="AQ130" s="24">
        <f t="shared" si="17"/>
        <v>1251</v>
      </c>
      <c r="AR130" s="24">
        <f t="shared" si="30"/>
        <v>36196.30046875</v>
      </c>
      <c r="AS130" s="25" t="s">
        <v>63</v>
      </c>
      <c r="AT130" s="26">
        <v>0</v>
      </c>
    </row>
    <row r="131" spans="1:46" ht="30" x14ac:dyDescent="0.25">
      <c r="A131" s="7">
        <v>127</v>
      </c>
      <c r="B131" s="8" t="str">
        <f t="shared" si="18"/>
        <v>SHE430</v>
      </c>
      <c r="C131" s="8" t="s">
        <v>64</v>
      </c>
      <c r="D131" s="8" t="s">
        <v>449</v>
      </c>
      <c r="E131" s="27" t="s">
        <v>450</v>
      </c>
      <c r="F131" s="8" t="s">
        <v>55</v>
      </c>
      <c r="G131" s="8" t="s">
        <v>67</v>
      </c>
      <c r="H131" s="10" t="s">
        <v>144</v>
      </c>
      <c r="I131" s="11" t="s">
        <v>58</v>
      </c>
      <c r="J131" s="12">
        <v>46046</v>
      </c>
      <c r="K131" s="13" t="s">
        <v>93</v>
      </c>
      <c r="L131" s="14">
        <f>VLOOKUP(E131,[4]CMP!$E$1:$G$145,3,0)</f>
        <v>673302120000140</v>
      </c>
      <c r="M131" s="14" t="str">
        <f>VLOOKUP(E131,[4]CMP!$E$1:$H$145,4,0)</f>
        <v>UBIN0564770</v>
      </c>
      <c r="N131" s="14" t="e">
        <f>VLOOKUP(E131,'[3]JAN-2026'!$B$84:$M$269,12,0)</f>
        <v>#REF!</v>
      </c>
      <c r="O131" s="13">
        <v>3813504187</v>
      </c>
      <c r="P131" s="15">
        <v>0</v>
      </c>
      <c r="Q131" s="16" t="s">
        <v>62</v>
      </c>
      <c r="R131" s="17">
        <v>489.5</v>
      </c>
      <c r="S131" s="18">
        <f t="shared" si="19"/>
        <v>7342.5</v>
      </c>
      <c r="T131" s="8">
        <v>2.5</v>
      </c>
      <c r="U131" s="19">
        <v>0</v>
      </c>
      <c r="V131" s="19">
        <v>7.5</v>
      </c>
      <c r="W131" s="19">
        <v>0.5</v>
      </c>
      <c r="X131" s="19">
        <v>0</v>
      </c>
      <c r="Y131" s="19">
        <v>2</v>
      </c>
      <c r="Z131" s="19">
        <v>23</v>
      </c>
      <c r="AA131" s="20">
        <f t="shared" si="20"/>
        <v>2.5</v>
      </c>
      <c r="AB131" s="21">
        <f t="shared" si="21"/>
        <v>28</v>
      </c>
      <c r="AC131" s="22">
        <f t="shared" si="22"/>
        <v>1223.75</v>
      </c>
      <c r="AD131" s="22">
        <f t="shared" si="23"/>
        <v>0</v>
      </c>
      <c r="AE131" s="18">
        <f t="shared" si="24"/>
        <v>917.8125</v>
      </c>
      <c r="AF131" s="18">
        <v>0</v>
      </c>
      <c r="AG131" s="18">
        <f>VLOOKUP(D131,[2]Sheet1!$B$3:$D$50,3,0)</f>
        <v>25950</v>
      </c>
      <c r="AH131" s="23">
        <f t="shared" si="32"/>
        <v>28091.5625</v>
      </c>
      <c r="AI131" s="18">
        <v>0</v>
      </c>
      <c r="AJ131" s="18">
        <f>VLOOKUP(D131,[1]Sheet1!$D$6:$DR$155,119,0)</f>
        <v>0</v>
      </c>
      <c r="AK131" s="18">
        <f>VLOOKUP(D131,[1]Sheet1!$D$6:$DQ$155,118,0)</f>
        <v>0</v>
      </c>
      <c r="AL131" s="23">
        <f t="shared" si="26"/>
        <v>28091.5625</v>
      </c>
      <c r="AM131" s="24">
        <f t="shared" si="27"/>
        <v>1800</v>
      </c>
      <c r="AN131" s="24">
        <f t="shared" si="28"/>
        <v>210.68671874999998</v>
      </c>
      <c r="AO131" s="24">
        <f t="shared" si="29"/>
        <v>200</v>
      </c>
      <c r="AP131" s="24">
        <f t="shared" si="16"/>
        <v>1950</v>
      </c>
      <c r="AQ131" s="24">
        <f t="shared" si="17"/>
        <v>913</v>
      </c>
      <c r="AR131" s="24">
        <f t="shared" si="30"/>
        <v>25880.875781250001</v>
      </c>
      <c r="AS131" s="25" t="s">
        <v>63</v>
      </c>
      <c r="AT131" s="26">
        <v>0</v>
      </c>
    </row>
    <row r="132" spans="1:46" ht="30" x14ac:dyDescent="0.25">
      <c r="A132" s="7">
        <v>128</v>
      </c>
      <c r="B132" s="8" t="str">
        <f t="shared" si="18"/>
        <v>SHE421</v>
      </c>
      <c r="C132" s="8" t="s">
        <v>64</v>
      </c>
      <c r="D132" s="8" t="s">
        <v>451</v>
      </c>
      <c r="E132" s="27" t="s">
        <v>452</v>
      </c>
      <c r="F132" s="8" t="s">
        <v>239</v>
      </c>
      <c r="G132" s="8" t="s">
        <v>240</v>
      </c>
      <c r="H132" s="10" t="s">
        <v>214</v>
      </c>
      <c r="I132" s="11" t="s">
        <v>58</v>
      </c>
      <c r="J132" s="12">
        <v>46030</v>
      </c>
      <c r="K132" s="13" t="s">
        <v>93</v>
      </c>
      <c r="L132" s="14">
        <f>VLOOKUP(E132,[4]CMP!$E$1:$G$145,3,0)</f>
        <v>673302120002752</v>
      </c>
      <c r="M132" s="14" t="str">
        <f>VLOOKUP(E132,[4]CMP!$E$1:$H$145,4,0)</f>
        <v>UBIN0564770</v>
      </c>
      <c r="N132" s="14" t="e">
        <f>VLOOKUP(E132,'[3]JAN-2026'!$B$84:$M$269,12,0)</f>
        <v>#REF!</v>
      </c>
      <c r="O132" s="13">
        <v>3811378716</v>
      </c>
      <c r="P132" s="15">
        <v>0</v>
      </c>
      <c r="Q132" s="16" t="s">
        <v>62</v>
      </c>
      <c r="R132" s="17">
        <v>489.5</v>
      </c>
      <c r="S132" s="18">
        <f t="shared" si="19"/>
        <v>7342.5</v>
      </c>
      <c r="T132" s="8">
        <v>1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27</v>
      </c>
      <c r="AA132" s="20">
        <f t="shared" si="20"/>
        <v>1</v>
      </c>
      <c r="AB132" s="21">
        <f t="shared" si="21"/>
        <v>28</v>
      </c>
      <c r="AC132" s="22">
        <f t="shared" si="22"/>
        <v>489.5</v>
      </c>
      <c r="AD132" s="22">
        <f t="shared" si="23"/>
        <v>0</v>
      </c>
      <c r="AE132" s="18">
        <f t="shared" si="24"/>
        <v>0</v>
      </c>
      <c r="AF132" s="18">
        <v>0</v>
      </c>
      <c r="AG132" s="18">
        <f>VLOOKUP(D132,[2]Sheet1!$B$3:$D$50,3,0)</f>
        <v>33797.699999999997</v>
      </c>
      <c r="AH132" s="23">
        <f t="shared" si="32"/>
        <v>34287.199999999997</v>
      </c>
      <c r="AI132" s="18">
        <v>0</v>
      </c>
      <c r="AJ132" s="18">
        <f>VLOOKUP(D132,[1]Sheet1!$D$6:$DR$155,119,0)</f>
        <v>0</v>
      </c>
      <c r="AK132" s="18">
        <f>VLOOKUP(D132,[1]Sheet1!$D$6:$DQ$155,118,0)</f>
        <v>0</v>
      </c>
      <c r="AL132" s="23">
        <f t="shared" si="26"/>
        <v>34287.199999999997</v>
      </c>
      <c r="AM132" s="24">
        <f t="shared" si="27"/>
        <v>1800</v>
      </c>
      <c r="AN132" s="24">
        <f t="shared" si="28"/>
        <v>257.154</v>
      </c>
      <c r="AO132" s="24">
        <f t="shared" si="29"/>
        <v>200</v>
      </c>
      <c r="AP132" s="24">
        <f t="shared" si="16"/>
        <v>1950</v>
      </c>
      <c r="AQ132" s="24">
        <f t="shared" si="17"/>
        <v>1114</v>
      </c>
      <c r="AR132" s="24">
        <f t="shared" si="30"/>
        <v>32030.045999999998</v>
      </c>
      <c r="AS132" s="25" t="s">
        <v>63</v>
      </c>
      <c r="AT132" s="26">
        <v>0</v>
      </c>
    </row>
    <row r="133" spans="1:46" ht="30" x14ac:dyDescent="0.25">
      <c r="A133" s="7">
        <v>129</v>
      </c>
      <c r="B133" s="8" t="str">
        <f t="shared" si="18"/>
        <v>SHE422</v>
      </c>
      <c r="C133" s="8" t="s">
        <v>64</v>
      </c>
      <c r="D133" s="8" t="s">
        <v>453</v>
      </c>
      <c r="E133" s="27" t="s">
        <v>454</v>
      </c>
      <c r="F133" s="8" t="s">
        <v>239</v>
      </c>
      <c r="G133" s="8" t="s">
        <v>240</v>
      </c>
      <c r="H133" s="10" t="s">
        <v>214</v>
      </c>
      <c r="I133" s="11" t="s">
        <v>58</v>
      </c>
      <c r="J133" s="12">
        <v>46030</v>
      </c>
      <c r="K133" s="13" t="s">
        <v>69</v>
      </c>
      <c r="L133" s="14">
        <v>50100100020331</v>
      </c>
      <c r="M133" s="14" t="s">
        <v>71</v>
      </c>
      <c r="N133" s="14" t="e">
        <f>VLOOKUP(E133,'[3]JAN-2026'!$B$84:$M$269,12,0)</f>
        <v>#REF!</v>
      </c>
      <c r="O133" s="13">
        <v>3813676814</v>
      </c>
      <c r="P133" s="15">
        <v>0</v>
      </c>
      <c r="Q133" s="16" t="s">
        <v>62</v>
      </c>
      <c r="R133" s="17">
        <v>489.5</v>
      </c>
      <c r="S133" s="18">
        <f t="shared" si="19"/>
        <v>7342.5</v>
      </c>
      <c r="T133" s="8">
        <v>6</v>
      </c>
      <c r="U133" s="19">
        <v>0</v>
      </c>
      <c r="V133" s="19">
        <v>23</v>
      </c>
      <c r="W133" s="19">
        <v>11</v>
      </c>
      <c r="X133" s="19">
        <v>0</v>
      </c>
      <c r="Y133" s="19">
        <v>2</v>
      </c>
      <c r="Z133" s="19">
        <v>0</v>
      </c>
      <c r="AA133" s="20">
        <f t="shared" si="20"/>
        <v>6</v>
      </c>
      <c r="AB133" s="21">
        <f t="shared" si="21"/>
        <v>19</v>
      </c>
      <c r="AC133" s="22">
        <f t="shared" si="22"/>
        <v>2937</v>
      </c>
      <c r="AD133" s="22">
        <f t="shared" si="23"/>
        <v>0</v>
      </c>
      <c r="AE133" s="18">
        <f t="shared" si="24"/>
        <v>2814.625</v>
      </c>
      <c r="AF133" s="18">
        <v>0</v>
      </c>
      <c r="AG133" s="18">
        <v>0</v>
      </c>
      <c r="AH133" s="23">
        <f t="shared" si="32"/>
        <v>5751.625</v>
      </c>
      <c r="AI133" s="18">
        <v>0</v>
      </c>
      <c r="AJ133" s="18">
        <f>VLOOKUP(D133,[1]Sheet1!$D$6:$DR$155,119,0)</f>
        <v>0</v>
      </c>
      <c r="AK133" s="18">
        <f>VLOOKUP(D133,[1]Sheet1!$D$6:$DQ$155,118,0)</f>
        <v>0</v>
      </c>
      <c r="AL133" s="23">
        <f t="shared" si="26"/>
        <v>5751.625</v>
      </c>
      <c r="AM133" s="24">
        <f t="shared" si="27"/>
        <v>690.19499999999994</v>
      </c>
      <c r="AN133" s="24">
        <f t="shared" si="28"/>
        <v>43.137187499999996</v>
      </c>
      <c r="AO133" s="24">
        <f t="shared" si="29"/>
        <v>0</v>
      </c>
      <c r="AP133" s="24">
        <f t="shared" ref="AP133:AP154" si="33">ROUND(AM133*13/12,0)</f>
        <v>748</v>
      </c>
      <c r="AQ133" s="24">
        <f t="shared" ref="AQ133:AQ154" si="34">ROUND(AN133*3.25/0.75,0)</f>
        <v>187</v>
      </c>
      <c r="AR133" s="24">
        <f t="shared" si="30"/>
        <v>5018.2928124999999</v>
      </c>
      <c r="AS133" s="25" t="s">
        <v>63</v>
      </c>
      <c r="AT133" s="26">
        <v>0</v>
      </c>
    </row>
    <row r="134" spans="1:46" ht="30" x14ac:dyDescent="0.25">
      <c r="A134" s="7">
        <v>130</v>
      </c>
      <c r="B134" s="8" t="str">
        <f t="shared" ref="B134:B155" si="35">+D134</f>
        <v>SHE423</v>
      </c>
      <c r="C134" s="8" t="s">
        <v>64</v>
      </c>
      <c r="D134" s="8" t="s">
        <v>455</v>
      </c>
      <c r="E134" s="27" t="s">
        <v>456</v>
      </c>
      <c r="F134" s="8" t="s">
        <v>239</v>
      </c>
      <c r="G134" s="8" t="s">
        <v>240</v>
      </c>
      <c r="H134" s="10" t="s">
        <v>265</v>
      </c>
      <c r="I134" s="11" t="s">
        <v>58</v>
      </c>
      <c r="J134" s="12">
        <v>46038</v>
      </c>
      <c r="K134" s="13" t="s">
        <v>93</v>
      </c>
      <c r="L134" s="14">
        <f>VLOOKUP(E134,[4]CMP!$E$1:$G$145,3,0)</f>
        <v>775402010001842</v>
      </c>
      <c r="M134" s="14" t="str">
        <f>VLOOKUP(E134,[4]CMP!$E$1:$H$145,4,0)</f>
        <v>UBIN0564770</v>
      </c>
      <c r="N134" s="14" t="e">
        <f>VLOOKUP(E134,'[3]JAN-2026'!$B$84:$M$269,12,0)</f>
        <v>#REF!</v>
      </c>
      <c r="O134" s="13">
        <v>3813681480</v>
      </c>
      <c r="P134" s="15">
        <v>0</v>
      </c>
      <c r="Q134" s="16" t="s">
        <v>62</v>
      </c>
      <c r="R134" s="17">
        <v>489.5</v>
      </c>
      <c r="S134" s="18">
        <f t="shared" ref="S134:S155" si="36">R134*$R$1</f>
        <v>7342.5</v>
      </c>
      <c r="T134" s="8">
        <v>23</v>
      </c>
      <c r="U134" s="19">
        <v>0</v>
      </c>
      <c r="V134" s="19">
        <v>59.5</v>
      </c>
      <c r="W134" s="19">
        <v>1</v>
      </c>
      <c r="X134" s="19">
        <v>0</v>
      </c>
      <c r="Y134" s="19">
        <v>4</v>
      </c>
      <c r="Z134" s="19">
        <v>0</v>
      </c>
      <c r="AA134" s="20">
        <f t="shared" ref="AA134:AA155" si="37">T134+X134</f>
        <v>23</v>
      </c>
      <c r="AB134" s="21">
        <f t="shared" ref="AB134:AB155" si="38">T134+W134+X134+Y134+Z134</f>
        <v>28</v>
      </c>
      <c r="AC134" s="22">
        <f t="shared" ref="AC134:AC155" si="39">R134*AA134</f>
        <v>11258.5</v>
      </c>
      <c r="AD134" s="22">
        <f t="shared" ref="AD134:AD155" si="40">R134/8*U134</f>
        <v>0</v>
      </c>
      <c r="AE134" s="18">
        <f t="shared" ref="AE134:AE155" si="41">R134/4*V134</f>
        <v>7281.3125</v>
      </c>
      <c r="AF134" s="18">
        <v>0</v>
      </c>
      <c r="AG134" s="18">
        <v>0</v>
      </c>
      <c r="AH134" s="23">
        <f t="shared" si="32"/>
        <v>18539.8125</v>
      </c>
      <c r="AI134" s="18">
        <v>0</v>
      </c>
      <c r="AJ134" s="18">
        <f>VLOOKUP(D134,[1]Sheet1!$D$6:$DR$155,119,0)</f>
        <v>200</v>
      </c>
      <c r="AK134" s="18">
        <f>VLOOKUP(D134,[1]Sheet1!$D$6:$DQ$155,118,0)</f>
        <v>0</v>
      </c>
      <c r="AL134" s="23">
        <f t="shared" ref="AL134:AL155" si="42">AH134-AI134-AJ134-AK134</f>
        <v>18339.8125</v>
      </c>
      <c r="AM134" s="24">
        <f t="shared" ref="AM134:AM156" si="43">IF(AH134&gt;15000,1800,AH134*12%)</f>
        <v>1800</v>
      </c>
      <c r="AN134" s="24">
        <f t="shared" ref="AN134:AN156" si="44">AH134*0.75%</f>
        <v>139.04859374999998</v>
      </c>
      <c r="AO134" s="24">
        <f t="shared" ref="AO134:AO156" si="45">IF(AH134&gt;12000,200,0)</f>
        <v>200</v>
      </c>
      <c r="AP134" s="24">
        <f t="shared" si="33"/>
        <v>1950</v>
      </c>
      <c r="AQ134" s="24">
        <f t="shared" si="34"/>
        <v>603</v>
      </c>
      <c r="AR134" s="24">
        <f t="shared" si="30"/>
        <v>16200.76390625</v>
      </c>
      <c r="AS134" s="25" t="s">
        <v>63</v>
      </c>
      <c r="AT134" s="26">
        <v>0</v>
      </c>
    </row>
    <row r="135" spans="1:46" ht="30" x14ac:dyDescent="0.25">
      <c r="A135" s="7">
        <v>131</v>
      </c>
      <c r="B135" s="8" t="str">
        <f t="shared" si="35"/>
        <v>SHE428</v>
      </c>
      <c r="C135" s="8" t="s">
        <v>64</v>
      </c>
      <c r="D135" s="8" t="s">
        <v>457</v>
      </c>
      <c r="E135" s="27" t="s">
        <v>458</v>
      </c>
      <c r="F135" s="8" t="s">
        <v>239</v>
      </c>
      <c r="G135" s="8" t="s">
        <v>240</v>
      </c>
      <c r="H135" s="10" t="s">
        <v>250</v>
      </c>
      <c r="I135" s="11" t="s">
        <v>58</v>
      </c>
      <c r="J135" s="12">
        <v>46041</v>
      </c>
      <c r="K135" s="13" t="s">
        <v>93</v>
      </c>
      <c r="L135" s="14">
        <v>67330201002722</v>
      </c>
      <c r="M135" s="14" t="s">
        <v>94</v>
      </c>
      <c r="N135" s="14" t="e">
        <f>VLOOKUP(E135,'[3]JAN-2026'!$B$84:$M$269,12,0)</f>
        <v>#REF!</v>
      </c>
      <c r="O135" s="13">
        <v>3813669512</v>
      </c>
      <c r="P135" s="15">
        <v>0</v>
      </c>
      <c r="Q135" s="16" t="s">
        <v>62</v>
      </c>
      <c r="R135" s="17">
        <v>560</v>
      </c>
      <c r="S135" s="18">
        <f t="shared" si="36"/>
        <v>8400</v>
      </c>
      <c r="T135" s="8">
        <v>24</v>
      </c>
      <c r="U135" s="19">
        <v>0</v>
      </c>
      <c r="V135" s="19">
        <v>91.5</v>
      </c>
      <c r="W135" s="19">
        <v>0</v>
      </c>
      <c r="X135" s="19">
        <v>0</v>
      </c>
      <c r="Y135" s="19">
        <v>4</v>
      </c>
      <c r="Z135" s="19">
        <v>0</v>
      </c>
      <c r="AA135" s="20">
        <f t="shared" si="37"/>
        <v>24</v>
      </c>
      <c r="AB135" s="21">
        <f t="shared" si="38"/>
        <v>28</v>
      </c>
      <c r="AC135" s="22">
        <f t="shared" si="39"/>
        <v>13440</v>
      </c>
      <c r="AD135" s="22">
        <f t="shared" si="40"/>
        <v>0</v>
      </c>
      <c r="AE135" s="18">
        <f t="shared" si="41"/>
        <v>12810</v>
      </c>
      <c r="AF135" s="18">
        <v>1750</v>
      </c>
      <c r="AG135" s="18">
        <v>0</v>
      </c>
      <c r="AH135" s="23">
        <f t="shared" si="32"/>
        <v>28000</v>
      </c>
      <c r="AI135" s="18">
        <v>0</v>
      </c>
      <c r="AJ135" s="18">
        <f>VLOOKUP(D135,[1]Sheet1!$D$6:$DR$155,119,0)</f>
        <v>0</v>
      </c>
      <c r="AK135" s="18">
        <f>VLOOKUP(D135,[1]Sheet1!$D$6:$DQ$155,118,0)</f>
        <v>350</v>
      </c>
      <c r="AL135" s="23">
        <f t="shared" si="42"/>
        <v>27650</v>
      </c>
      <c r="AM135" s="24">
        <f t="shared" si="43"/>
        <v>1800</v>
      </c>
      <c r="AN135" s="24">
        <f t="shared" si="44"/>
        <v>210</v>
      </c>
      <c r="AO135" s="24">
        <f t="shared" si="45"/>
        <v>200</v>
      </c>
      <c r="AP135" s="24">
        <f t="shared" si="33"/>
        <v>1950</v>
      </c>
      <c r="AQ135" s="24">
        <f t="shared" si="34"/>
        <v>910</v>
      </c>
      <c r="AR135" s="24">
        <f t="shared" si="30"/>
        <v>25440</v>
      </c>
      <c r="AS135" s="25" t="s">
        <v>63</v>
      </c>
      <c r="AT135" s="26">
        <v>0</v>
      </c>
    </row>
    <row r="136" spans="1:46" ht="30" x14ac:dyDescent="0.25">
      <c r="A136" s="7">
        <v>132</v>
      </c>
      <c r="B136" s="8" t="str">
        <f t="shared" si="35"/>
        <v>SHE431</v>
      </c>
      <c r="C136" s="8" t="s">
        <v>64</v>
      </c>
      <c r="D136" s="8" t="s">
        <v>459</v>
      </c>
      <c r="E136" s="27" t="s">
        <v>460</v>
      </c>
      <c r="F136" s="8" t="s">
        <v>239</v>
      </c>
      <c r="G136" s="8" t="s">
        <v>261</v>
      </c>
      <c r="H136" s="10" t="s">
        <v>144</v>
      </c>
      <c r="I136" s="11" t="s">
        <v>58</v>
      </c>
      <c r="J136" s="12">
        <v>46046</v>
      </c>
      <c r="K136" s="13" t="s">
        <v>69</v>
      </c>
      <c r="L136" s="14">
        <f>VLOOKUP(E136,[4]CMP!$E$1:$G$145,3,0)</f>
        <v>50100750890497</v>
      </c>
      <c r="M136" s="14" t="str">
        <f>VLOOKUP(E136,[4]CMP!$E$1:$H$145,4,0)</f>
        <v>HDFC0000033</v>
      </c>
      <c r="N136" s="14" t="e">
        <f>VLOOKUP(E136,'[3]JAN-2026'!$B$84:$M$269,12,0)</f>
        <v>#REF!</v>
      </c>
      <c r="O136" s="13">
        <v>3813287281</v>
      </c>
      <c r="P136" s="15">
        <v>0</v>
      </c>
      <c r="Q136" s="16" t="s">
        <v>62</v>
      </c>
      <c r="R136" s="17">
        <v>489.5</v>
      </c>
      <c r="S136" s="18">
        <f t="shared" si="36"/>
        <v>7342.5</v>
      </c>
      <c r="T136" s="8">
        <v>23</v>
      </c>
      <c r="U136" s="19">
        <v>0</v>
      </c>
      <c r="V136" s="19">
        <v>68.5</v>
      </c>
      <c r="W136" s="19">
        <v>1</v>
      </c>
      <c r="X136" s="19">
        <v>0</v>
      </c>
      <c r="Y136" s="19">
        <v>4</v>
      </c>
      <c r="Z136" s="19">
        <v>0</v>
      </c>
      <c r="AA136" s="20">
        <f t="shared" si="37"/>
        <v>23</v>
      </c>
      <c r="AB136" s="21">
        <f t="shared" si="38"/>
        <v>28</v>
      </c>
      <c r="AC136" s="22">
        <f t="shared" si="39"/>
        <v>11258.5</v>
      </c>
      <c r="AD136" s="22">
        <f t="shared" si="40"/>
        <v>0</v>
      </c>
      <c r="AE136" s="18">
        <f t="shared" si="41"/>
        <v>8382.6875</v>
      </c>
      <c r="AF136" s="18">
        <v>0</v>
      </c>
      <c r="AG136" s="18">
        <v>0</v>
      </c>
      <c r="AH136" s="23">
        <f t="shared" si="32"/>
        <v>19641.1875</v>
      </c>
      <c r="AI136" s="18">
        <v>0</v>
      </c>
      <c r="AJ136" s="18">
        <f>VLOOKUP(D136,[1]Sheet1!$D$6:$DR$155,119,0)</f>
        <v>0</v>
      </c>
      <c r="AK136" s="18">
        <f>VLOOKUP(D136,[1]Sheet1!$D$6:$DQ$155,118,0)</f>
        <v>0</v>
      </c>
      <c r="AL136" s="23">
        <f t="shared" si="42"/>
        <v>19641.1875</v>
      </c>
      <c r="AM136" s="24">
        <f t="shared" si="43"/>
        <v>1800</v>
      </c>
      <c r="AN136" s="24">
        <f t="shared" si="44"/>
        <v>147.30890625000001</v>
      </c>
      <c r="AO136" s="24">
        <f t="shared" si="45"/>
        <v>200</v>
      </c>
      <c r="AP136" s="24">
        <f t="shared" si="33"/>
        <v>1950</v>
      </c>
      <c r="AQ136" s="24">
        <f t="shared" si="34"/>
        <v>638</v>
      </c>
      <c r="AR136" s="24">
        <f t="shared" si="30"/>
        <v>17493.87859375</v>
      </c>
      <c r="AS136" s="25" t="s">
        <v>63</v>
      </c>
      <c r="AT136" s="26">
        <v>0</v>
      </c>
    </row>
    <row r="137" spans="1:46" ht="30" x14ac:dyDescent="0.25">
      <c r="A137" s="7">
        <v>133</v>
      </c>
      <c r="B137" s="8" t="str">
        <f t="shared" si="35"/>
        <v>SHE434</v>
      </c>
      <c r="C137" s="8" t="s">
        <v>52</v>
      </c>
      <c r="D137" s="8" t="s">
        <v>461</v>
      </c>
      <c r="E137" s="27" t="s">
        <v>462</v>
      </c>
      <c r="F137" s="8" t="s">
        <v>55</v>
      </c>
      <c r="G137" s="8" t="s">
        <v>83</v>
      </c>
      <c r="H137" s="10" t="s">
        <v>102</v>
      </c>
      <c r="I137" s="11" t="s">
        <v>58</v>
      </c>
      <c r="J137" s="12">
        <v>46056</v>
      </c>
      <c r="K137" s="13"/>
      <c r="L137" s="14"/>
      <c r="M137" s="14"/>
      <c r="N137" s="14"/>
      <c r="O137" s="13"/>
      <c r="P137" s="15">
        <v>0</v>
      </c>
      <c r="Q137" s="16" t="s">
        <v>62</v>
      </c>
      <c r="R137" s="17">
        <v>489.5</v>
      </c>
      <c r="S137" s="18">
        <f t="shared" si="36"/>
        <v>7342.5</v>
      </c>
      <c r="T137" s="8">
        <v>15</v>
      </c>
      <c r="U137" s="19">
        <v>0</v>
      </c>
      <c r="V137" s="19">
        <v>2</v>
      </c>
      <c r="W137" s="19">
        <v>8</v>
      </c>
      <c r="X137" s="19">
        <v>0</v>
      </c>
      <c r="Y137" s="19">
        <v>3</v>
      </c>
      <c r="Z137" s="19">
        <v>0</v>
      </c>
      <c r="AA137" s="20">
        <f t="shared" si="37"/>
        <v>15</v>
      </c>
      <c r="AB137" s="21">
        <f t="shared" si="38"/>
        <v>26</v>
      </c>
      <c r="AC137" s="22">
        <f t="shared" si="39"/>
        <v>7342.5</v>
      </c>
      <c r="AD137" s="22">
        <f t="shared" si="40"/>
        <v>0</v>
      </c>
      <c r="AE137" s="18">
        <f t="shared" si="41"/>
        <v>244.75</v>
      </c>
      <c r="AF137" s="18">
        <v>0</v>
      </c>
      <c r="AG137" s="18">
        <v>0</v>
      </c>
      <c r="AH137" s="23">
        <f t="shared" si="32"/>
        <v>7587.25</v>
      </c>
      <c r="AI137" s="18">
        <v>0</v>
      </c>
      <c r="AJ137" s="18">
        <f>VLOOKUP(D137,[1]Sheet1!$D$6:$DR$155,119,0)</f>
        <v>0</v>
      </c>
      <c r="AK137" s="18">
        <f>VLOOKUP(D137,[1]Sheet1!$D$6:$DQ$155,118,0)</f>
        <v>350</v>
      </c>
      <c r="AL137" s="23">
        <f t="shared" si="42"/>
        <v>7237.25</v>
      </c>
      <c r="AM137" s="24">
        <f t="shared" si="43"/>
        <v>910.46999999999991</v>
      </c>
      <c r="AN137" s="24">
        <f t="shared" si="44"/>
        <v>56.904374999999995</v>
      </c>
      <c r="AO137" s="24">
        <f t="shared" si="45"/>
        <v>0</v>
      </c>
      <c r="AP137" s="24">
        <f t="shared" si="33"/>
        <v>986</v>
      </c>
      <c r="AQ137" s="24">
        <f t="shared" si="34"/>
        <v>247</v>
      </c>
      <c r="AR137" s="24">
        <f t="shared" si="30"/>
        <v>6269.8756250000006</v>
      </c>
      <c r="AS137" s="25" t="s">
        <v>63</v>
      </c>
      <c r="AT137" s="26">
        <v>0</v>
      </c>
    </row>
    <row r="138" spans="1:46" ht="30" x14ac:dyDescent="0.25">
      <c r="A138" s="7">
        <v>134</v>
      </c>
      <c r="B138" s="8" t="str">
        <f t="shared" si="35"/>
        <v>SHE435</v>
      </c>
      <c r="C138" s="8" t="s">
        <v>141</v>
      </c>
      <c r="D138" s="8" t="s">
        <v>463</v>
      </c>
      <c r="E138" s="27" t="s">
        <v>464</v>
      </c>
      <c r="F138" s="8" t="s">
        <v>55</v>
      </c>
      <c r="G138" s="8" t="s">
        <v>83</v>
      </c>
      <c r="H138" s="10" t="s">
        <v>144</v>
      </c>
      <c r="I138" s="11" t="s">
        <v>58</v>
      </c>
      <c r="J138" s="12">
        <v>46056</v>
      </c>
      <c r="K138" s="13"/>
      <c r="L138" s="14"/>
      <c r="M138" s="14"/>
      <c r="N138" s="14"/>
      <c r="O138" s="13"/>
      <c r="P138" s="15">
        <v>0</v>
      </c>
      <c r="Q138" s="16" t="s">
        <v>62</v>
      </c>
      <c r="R138" s="17">
        <v>489.5</v>
      </c>
      <c r="S138" s="18">
        <f t="shared" si="36"/>
        <v>7342.5</v>
      </c>
      <c r="T138" s="8">
        <v>17</v>
      </c>
      <c r="U138" s="19">
        <v>0</v>
      </c>
      <c r="V138" s="19">
        <v>0</v>
      </c>
      <c r="W138" s="19">
        <v>6</v>
      </c>
      <c r="X138" s="19">
        <v>0</v>
      </c>
      <c r="Y138" s="19">
        <v>3</v>
      </c>
      <c r="Z138" s="19">
        <v>0</v>
      </c>
      <c r="AA138" s="20">
        <f t="shared" si="37"/>
        <v>17</v>
      </c>
      <c r="AB138" s="21">
        <f t="shared" si="38"/>
        <v>26</v>
      </c>
      <c r="AC138" s="22">
        <f t="shared" si="39"/>
        <v>8321.5</v>
      </c>
      <c r="AD138" s="22">
        <f t="shared" si="40"/>
        <v>0</v>
      </c>
      <c r="AE138" s="18">
        <f t="shared" si="41"/>
        <v>0</v>
      </c>
      <c r="AF138" s="18">
        <v>0</v>
      </c>
      <c r="AG138" s="18">
        <v>0</v>
      </c>
      <c r="AH138" s="23">
        <f t="shared" si="32"/>
        <v>8321.5</v>
      </c>
      <c r="AI138" s="18">
        <v>0</v>
      </c>
      <c r="AJ138" s="18">
        <f>VLOOKUP(D138,[1]Sheet1!$D$6:$DR$155,119,0)</f>
        <v>0</v>
      </c>
      <c r="AK138" s="18">
        <f>VLOOKUP(D138,[1]Sheet1!$D$6:$DQ$155,118,0)</f>
        <v>0</v>
      </c>
      <c r="AL138" s="23">
        <f t="shared" si="42"/>
        <v>8321.5</v>
      </c>
      <c r="AM138" s="24">
        <f t="shared" si="43"/>
        <v>998.57999999999993</v>
      </c>
      <c r="AN138" s="24">
        <f t="shared" si="44"/>
        <v>62.411249999999995</v>
      </c>
      <c r="AO138" s="24">
        <f t="shared" si="45"/>
        <v>0</v>
      </c>
      <c r="AP138" s="24">
        <f t="shared" si="33"/>
        <v>1082</v>
      </c>
      <c r="AQ138" s="24">
        <f t="shared" si="34"/>
        <v>270</v>
      </c>
      <c r="AR138" s="24">
        <f t="shared" si="30"/>
        <v>7260.50875</v>
      </c>
      <c r="AS138" s="25" t="s">
        <v>63</v>
      </c>
      <c r="AT138" s="26">
        <v>0</v>
      </c>
    </row>
    <row r="139" spans="1:46" ht="30" x14ac:dyDescent="0.25">
      <c r="A139" s="7">
        <v>135</v>
      </c>
      <c r="B139" s="8" t="str">
        <f t="shared" si="35"/>
        <v>SHE437</v>
      </c>
      <c r="C139" s="8" t="s">
        <v>52</v>
      </c>
      <c r="D139" s="8" t="s">
        <v>465</v>
      </c>
      <c r="E139" s="27" t="s">
        <v>466</v>
      </c>
      <c r="F139" s="8" t="s">
        <v>55</v>
      </c>
      <c r="G139" s="8" t="s">
        <v>83</v>
      </c>
      <c r="H139" s="10" t="s">
        <v>102</v>
      </c>
      <c r="I139" s="11" t="s">
        <v>58</v>
      </c>
      <c r="J139" s="12">
        <v>46058</v>
      </c>
      <c r="K139" s="13"/>
      <c r="L139" s="14"/>
      <c r="M139" s="14"/>
      <c r="N139" s="14"/>
      <c r="O139" s="13"/>
      <c r="P139" s="15">
        <v>0</v>
      </c>
      <c r="Q139" s="16" t="s">
        <v>62</v>
      </c>
      <c r="R139" s="17">
        <v>489.5</v>
      </c>
      <c r="S139" s="18">
        <f t="shared" si="36"/>
        <v>7342.5</v>
      </c>
      <c r="T139" s="8">
        <v>4</v>
      </c>
      <c r="U139" s="19">
        <v>0</v>
      </c>
      <c r="V139" s="19">
        <v>0</v>
      </c>
      <c r="W139" s="19">
        <v>18</v>
      </c>
      <c r="X139" s="19">
        <v>0</v>
      </c>
      <c r="Y139" s="19">
        <v>2</v>
      </c>
      <c r="Z139" s="19">
        <v>0</v>
      </c>
      <c r="AA139" s="20">
        <f t="shared" si="37"/>
        <v>4</v>
      </c>
      <c r="AB139" s="21">
        <f t="shared" si="38"/>
        <v>24</v>
      </c>
      <c r="AC139" s="22">
        <f t="shared" si="39"/>
        <v>1958</v>
      </c>
      <c r="AD139" s="22">
        <f t="shared" si="40"/>
        <v>0</v>
      </c>
      <c r="AE139" s="18">
        <f t="shared" si="41"/>
        <v>0</v>
      </c>
      <c r="AF139" s="18">
        <v>0</v>
      </c>
      <c r="AG139" s="18">
        <v>0</v>
      </c>
      <c r="AH139" s="23">
        <f t="shared" si="32"/>
        <v>1958</v>
      </c>
      <c r="AI139" s="18">
        <v>0</v>
      </c>
      <c r="AJ139" s="18">
        <f>VLOOKUP(D139,[1]Sheet1!$D$6:$DR$155,119,0)</f>
        <v>0</v>
      </c>
      <c r="AK139" s="18">
        <f>VLOOKUP(D139,[1]Sheet1!$D$6:$DQ$155,118,0)</f>
        <v>0</v>
      </c>
      <c r="AL139" s="23">
        <f t="shared" si="42"/>
        <v>1958</v>
      </c>
      <c r="AM139" s="24">
        <f t="shared" si="43"/>
        <v>234.95999999999998</v>
      </c>
      <c r="AN139" s="24">
        <f t="shared" si="44"/>
        <v>14.684999999999999</v>
      </c>
      <c r="AO139" s="24">
        <f t="shared" si="45"/>
        <v>0</v>
      </c>
      <c r="AP139" s="24">
        <f t="shared" si="33"/>
        <v>255</v>
      </c>
      <c r="AQ139" s="24">
        <f t="shared" si="34"/>
        <v>64</v>
      </c>
      <c r="AR139" s="24">
        <f t="shared" si="30"/>
        <v>1708.355</v>
      </c>
      <c r="AS139" s="25" t="s">
        <v>63</v>
      </c>
      <c r="AT139" s="26">
        <v>0</v>
      </c>
    </row>
    <row r="140" spans="1:46" ht="30" x14ac:dyDescent="0.25">
      <c r="A140" s="7">
        <v>136</v>
      </c>
      <c r="B140" s="8" t="str">
        <f t="shared" si="35"/>
        <v>SHE438</v>
      </c>
      <c r="C140" s="8" t="s">
        <v>52</v>
      </c>
      <c r="D140" s="8" t="s">
        <v>467</v>
      </c>
      <c r="E140" s="27" t="s">
        <v>468</v>
      </c>
      <c r="F140" s="8" t="s">
        <v>55</v>
      </c>
      <c r="G140" s="8" t="s">
        <v>83</v>
      </c>
      <c r="H140" s="10" t="s">
        <v>102</v>
      </c>
      <c r="I140" s="11" t="s">
        <v>58</v>
      </c>
      <c r="J140" s="12">
        <v>46058</v>
      </c>
      <c r="K140" s="13"/>
      <c r="L140" s="14"/>
      <c r="M140" s="14"/>
      <c r="N140" s="14"/>
      <c r="O140" s="13"/>
      <c r="P140" s="15">
        <v>0</v>
      </c>
      <c r="Q140" s="16" t="s">
        <v>62</v>
      </c>
      <c r="R140" s="17">
        <v>489.5</v>
      </c>
      <c r="S140" s="18">
        <f t="shared" si="36"/>
        <v>7342.5</v>
      </c>
      <c r="T140" s="8">
        <v>3</v>
      </c>
      <c r="U140" s="19">
        <v>0</v>
      </c>
      <c r="V140" s="19">
        <v>0</v>
      </c>
      <c r="W140" s="19">
        <v>19</v>
      </c>
      <c r="X140" s="19">
        <v>0</v>
      </c>
      <c r="Y140" s="19">
        <v>2</v>
      </c>
      <c r="Z140" s="19">
        <v>0</v>
      </c>
      <c r="AA140" s="20">
        <f t="shared" si="37"/>
        <v>3</v>
      </c>
      <c r="AB140" s="21">
        <f t="shared" si="38"/>
        <v>24</v>
      </c>
      <c r="AC140" s="22">
        <f t="shared" si="39"/>
        <v>1468.5</v>
      </c>
      <c r="AD140" s="22">
        <f t="shared" si="40"/>
        <v>0</v>
      </c>
      <c r="AE140" s="18">
        <f t="shared" si="41"/>
        <v>0</v>
      </c>
      <c r="AF140" s="18">
        <v>0</v>
      </c>
      <c r="AG140" s="18">
        <v>0</v>
      </c>
      <c r="AH140" s="23">
        <f t="shared" si="32"/>
        <v>1468.5</v>
      </c>
      <c r="AI140" s="18">
        <v>0</v>
      </c>
      <c r="AJ140" s="18">
        <f>VLOOKUP(D140,[1]Sheet1!$D$6:$DR$155,119,0)</f>
        <v>200</v>
      </c>
      <c r="AK140" s="18">
        <f>VLOOKUP(D140,[1]Sheet1!$D$6:$DQ$155,118,0)</f>
        <v>0</v>
      </c>
      <c r="AL140" s="23">
        <f t="shared" si="42"/>
        <v>1268.5</v>
      </c>
      <c r="AM140" s="24">
        <f t="shared" si="43"/>
        <v>176.22</v>
      </c>
      <c r="AN140" s="24">
        <f t="shared" si="44"/>
        <v>11.01375</v>
      </c>
      <c r="AO140" s="24">
        <f t="shared" si="45"/>
        <v>0</v>
      </c>
      <c r="AP140" s="24">
        <f t="shared" si="33"/>
        <v>191</v>
      </c>
      <c r="AQ140" s="24">
        <f t="shared" si="34"/>
        <v>48</v>
      </c>
      <c r="AR140" s="24">
        <f t="shared" si="30"/>
        <v>1081.2662500000001</v>
      </c>
      <c r="AS140" s="25" t="s">
        <v>63</v>
      </c>
      <c r="AT140" s="26">
        <v>0</v>
      </c>
    </row>
    <row r="141" spans="1:46" ht="30" x14ac:dyDescent="0.25">
      <c r="A141" s="7">
        <v>137</v>
      </c>
      <c r="B141" s="8" t="str">
        <f t="shared" si="35"/>
        <v>SHE440</v>
      </c>
      <c r="C141" s="8" t="s">
        <v>52</v>
      </c>
      <c r="D141" s="8" t="s">
        <v>469</v>
      </c>
      <c r="E141" s="27" t="s">
        <v>470</v>
      </c>
      <c r="F141" s="8" t="s">
        <v>55</v>
      </c>
      <c r="G141" s="8" t="s">
        <v>78</v>
      </c>
      <c r="H141" s="10" t="s">
        <v>144</v>
      </c>
      <c r="I141" s="11" t="s">
        <v>58</v>
      </c>
      <c r="J141" s="12">
        <v>46059</v>
      </c>
      <c r="K141" s="13"/>
      <c r="L141" s="14"/>
      <c r="M141" s="14"/>
      <c r="N141" s="14"/>
      <c r="O141" s="13"/>
      <c r="P141" s="15">
        <v>0</v>
      </c>
      <c r="Q141" s="16" t="s">
        <v>62</v>
      </c>
      <c r="R141" s="17">
        <v>489.5</v>
      </c>
      <c r="S141" s="18">
        <f t="shared" si="36"/>
        <v>7342.5</v>
      </c>
      <c r="T141" s="8">
        <v>10</v>
      </c>
      <c r="U141" s="19">
        <v>0</v>
      </c>
      <c r="V141" s="19">
        <v>0</v>
      </c>
      <c r="W141" s="19">
        <v>11</v>
      </c>
      <c r="X141" s="19">
        <v>0</v>
      </c>
      <c r="Y141" s="19">
        <v>2</v>
      </c>
      <c r="Z141" s="19">
        <v>0</v>
      </c>
      <c r="AA141" s="20">
        <f t="shared" si="37"/>
        <v>10</v>
      </c>
      <c r="AB141" s="21">
        <f t="shared" si="38"/>
        <v>23</v>
      </c>
      <c r="AC141" s="22">
        <f t="shared" si="39"/>
        <v>4895</v>
      </c>
      <c r="AD141" s="22">
        <f t="shared" si="40"/>
        <v>0</v>
      </c>
      <c r="AE141" s="18">
        <f t="shared" si="41"/>
        <v>0</v>
      </c>
      <c r="AF141" s="18">
        <v>0</v>
      </c>
      <c r="AG141" s="18">
        <v>0</v>
      </c>
      <c r="AH141" s="23">
        <f t="shared" si="32"/>
        <v>4895</v>
      </c>
      <c r="AI141" s="18">
        <v>0</v>
      </c>
      <c r="AJ141" s="18">
        <f>VLOOKUP(D141,[1]Sheet1!$D$6:$DR$155,119,0)</f>
        <v>0</v>
      </c>
      <c r="AK141" s="18">
        <f>VLOOKUP(D141,[1]Sheet1!$D$6:$DQ$155,118,0)</f>
        <v>0</v>
      </c>
      <c r="AL141" s="23">
        <f t="shared" si="42"/>
        <v>4895</v>
      </c>
      <c r="AM141" s="24">
        <f t="shared" si="43"/>
        <v>587.4</v>
      </c>
      <c r="AN141" s="24">
        <f t="shared" si="44"/>
        <v>36.712499999999999</v>
      </c>
      <c r="AO141" s="24">
        <f t="shared" si="45"/>
        <v>0</v>
      </c>
      <c r="AP141" s="24">
        <f t="shared" si="33"/>
        <v>636</v>
      </c>
      <c r="AQ141" s="24">
        <f t="shared" si="34"/>
        <v>159</v>
      </c>
      <c r="AR141" s="24">
        <f t="shared" si="30"/>
        <v>4270.8874999999998</v>
      </c>
      <c r="AS141" s="25" t="s">
        <v>63</v>
      </c>
      <c r="AT141" s="26">
        <v>0</v>
      </c>
    </row>
    <row r="142" spans="1:46" ht="30" x14ac:dyDescent="0.25">
      <c r="A142" s="7">
        <v>138</v>
      </c>
      <c r="B142" s="8" t="str">
        <f t="shared" si="35"/>
        <v>SHE443</v>
      </c>
      <c r="C142" s="8" t="s">
        <v>64</v>
      </c>
      <c r="D142" s="8" t="s">
        <v>471</v>
      </c>
      <c r="E142" s="27" t="s">
        <v>472</v>
      </c>
      <c r="F142" s="8" t="s">
        <v>55</v>
      </c>
      <c r="G142" s="8" t="s">
        <v>83</v>
      </c>
      <c r="H142" s="10" t="s">
        <v>144</v>
      </c>
      <c r="I142" s="11" t="s">
        <v>58</v>
      </c>
      <c r="J142" s="12">
        <v>46063</v>
      </c>
      <c r="K142" s="13"/>
      <c r="L142" s="14"/>
      <c r="M142" s="14"/>
      <c r="N142" s="14"/>
      <c r="O142" s="13"/>
      <c r="P142" s="15">
        <v>0</v>
      </c>
      <c r="Q142" s="16" t="s">
        <v>62</v>
      </c>
      <c r="R142" s="17">
        <v>489.5</v>
      </c>
      <c r="S142" s="18">
        <f t="shared" si="36"/>
        <v>7342.5</v>
      </c>
      <c r="T142" s="8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2</v>
      </c>
      <c r="Z142" s="19">
        <v>17</v>
      </c>
      <c r="AA142" s="20">
        <f t="shared" si="37"/>
        <v>0</v>
      </c>
      <c r="AB142" s="21">
        <f t="shared" si="38"/>
        <v>19</v>
      </c>
      <c r="AC142" s="22">
        <f t="shared" si="39"/>
        <v>0</v>
      </c>
      <c r="AD142" s="22">
        <f t="shared" si="40"/>
        <v>0</v>
      </c>
      <c r="AE142" s="18">
        <f t="shared" si="41"/>
        <v>0</v>
      </c>
      <c r="AF142" s="18">
        <v>0</v>
      </c>
      <c r="AG142" s="18">
        <f>VLOOKUP(D142,[2]Sheet1!$B$3:$D$50,3,0)</f>
        <v>20479</v>
      </c>
      <c r="AH142" s="23">
        <f t="shared" si="32"/>
        <v>20479</v>
      </c>
      <c r="AI142" s="18">
        <v>0</v>
      </c>
      <c r="AJ142" s="18">
        <f>VLOOKUP(D142,[1]Sheet1!$D$6:$DR$155,119,0)</f>
        <v>0</v>
      </c>
      <c r="AK142" s="18">
        <f>VLOOKUP(D142,[1]Sheet1!$D$6:$DQ$155,118,0)</f>
        <v>0</v>
      </c>
      <c r="AL142" s="23">
        <f t="shared" si="42"/>
        <v>20479</v>
      </c>
      <c r="AM142" s="24">
        <f t="shared" si="43"/>
        <v>1800</v>
      </c>
      <c r="AN142" s="24">
        <f t="shared" si="44"/>
        <v>153.5925</v>
      </c>
      <c r="AO142" s="24">
        <f t="shared" si="45"/>
        <v>200</v>
      </c>
      <c r="AP142" s="24">
        <f t="shared" si="33"/>
        <v>1950</v>
      </c>
      <c r="AQ142" s="24">
        <f t="shared" si="34"/>
        <v>666</v>
      </c>
      <c r="AR142" s="24">
        <f t="shared" si="30"/>
        <v>18325.407500000001</v>
      </c>
      <c r="AS142" s="25" t="s">
        <v>63</v>
      </c>
      <c r="AT142" s="26">
        <v>0</v>
      </c>
    </row>
    <row r="143" spans="1:46" ht="30" x14ac:dyDescent="0.25">
      <c r="A143" s="7">
        <v>139</v>
      </c>
      <c r="B143" s="8" t="str">
        <f t="shared" si="35"/>
        <v>SHE446</v>
      </c>
      <c r="C143" s="8" t="s">
        <v>52</v>
      </c>
      <c r="D143" s="8" t="s">
        <v>473</v>
      </c>
      <c r="E143" s="27" t="s">
        <v>474</v>
      </c>
      <c r="F143" s="8" t="s">
        <v>55</v>
      </c>
      <c r="G143" s="8" t="s">
        <v>125</v>
      </c>
      <c r="H143" s="10" t="s">
        <v>125</v>
      </c>
      <c r="I143" s="11" t="s">
        <v>58</v>
      </c>
      <c r="J143" s="12">
        <v>46070</v>
      </c>
      <c r="K143" s="13"/>
      <c r="L143" s="14"/>
      <c r="M143" s="14"/>
      <c r="N143" s="14"/>
      <c r="O143" s="13"/>
      <c r="P143" s="15">
        <v>0</v>
      </c>
      <c r="Q143" s="16" t="s">
        <v>62</v>
      </c>
      <c r="R143" s="17">
        <v>489.5</v>
      </c>
      <c r="S143" s="18">
        <f t="shared" si="36"/>
        <v>7342.5</v>
      </c>
      <c r="T143" s="8">
        <v>2</v>
      </c>
      <c r="U143" s="19">
        <v>0</v>
      </c>
      <c r="V143" s="19">
        <v>0</v>
      </c>
      <c r="W143" s="19">
        <v>10</v>
      </c>
      <c r="X143" s="19">
        <v>0</v>
      </c>
      <c r="Y143" s="19">
        <v>0</v>
      </c>
      <c r="Z143" s="19">
        <v>0</v>
      </c>
      <c r="AA143" s="20">
        <f t="shared" si="37"/>
        <v>2</v>
      </c>
      <c r="AB143" s="21">
        <f t="shared" si="38"/>
        <v>12</v>
      </c>
      <c r="AC143" s="22">
        <f t="shared" si="39"/>
        <v>979</v>
      </c>
      <c r="AD143" s="22">
        <f t="shared" si="40"/>
        <v>0</v>
      </c>
      <c r="AE143" s="18">
        <f t="shared" si="41"/>
        <v>0</v>
      </c>
      <c r="AF143" s="18">
        <v>0</v>
      </c>
      <c r="AG143" s="18">
        <v>0</v>
      </c>
      <c r="AH143" s="23">
        <f t="shared" si="32"/>
        <v>979</v>
      </c>
      <c r="AI143" s="18">
        <v>0</v>
      </c>
      <c r="AJ143" s="18">
        <f>VLOOKUP(D143,[1]Sheet1!$D$6:$DR$155,119,0)</f>
        <v>0</v>
      </c>
      <c r="AK143" s="18">
        <f>VLOOKUP(D143,[1]Sheet1!$D$6:$DQ$155,118,0)</f>
        <v>350</v>
      </c>
      <c r="AL143" s="23">
        <f t="shared" si="42"/>
        <v>629</v>
      </c>
      <c r="AM143" s="24">
        <f t="shared" si="43"/>
        <v>117.47999999999999</v>
      </c>
      <c r="AN143" s="24">
        <f t="shared" si="44"/>
        <v>7.3424999999999994</v>
      </c>
      <c r="AO143" s="24">
        <f t="shared" si="45"/>
        <v>0</v>
      </c>
      <c r="AP143" s="24">
        <f t="shared" si="33"/>
        <v>127</v>
      </c>
      <c r="AQ143" s="24">
        <f t="shared" si="34"/>
        <v>32</v>
      </c>
      <c r="AR143" s="24">
        <f t="shared" si="30"/>
        <v>504.17750000000001</v>
      </c>
      <c r="AS143" s="25" t="s">
        <v>63</v>
      </c>
      <c r="AT143" s="26">
        <v>0</v>
      </c>
    </row>
    <row r="144" spans="1:46" ht="45" x14ac:dyDescent="0.25">
      <c r="A144" s="7">
        <v>140</v>
      </c>
      <c r="B144" s="8" t="str">
        <f t="shared" si="35"/>
        <v>SHE447</v>
      </c>
      <c r="C144" s="8" t="s">
        <v>52</v>
      </c>
      <c r="D144" s="8" t="s">
        <v>475</v>
      </c>
      <c r="E144" s="27" t="s">
        <v>476</v>
      </c>
      <c r="F144" s="8" t="s">
        <v>55</v>
      </c>
      <c r="G144" s="8" t="s">
        <v>83</v>
      </c>
      <c r="H144" s="10" t="s">
        <v>477</v>
      </c>
      <c r="I144" s="11" t="s">
        <v>58</v>
      </c>
      <c r="J144" s="12">
        <v>46076</v>
      </c>
      <c r="K144" s="13"/>
      <c r="L144" s="14"/>
      <c r="M144" s="14"/>
      <c r="N144" s="14"/>
      <c r="O144" s="13"/>
      <c r="P144" s="15">
        <v>0</v>
      </c>
      <c r="Q144" s="16" t="s">
        <v>62</v>
      </c>
      <c r="R144" s="17">
        <v>489.5</v>
      </c>
      <c r="S144" s="18">
        <f t="shared" si="36"/>
        <v>7342.5</v>
      </c>
      <c r="T144" s="8">
        <v>5</v>
      </c>
      <c r="U144" s="19">
        <v>0</v>
      </c>
      <c r="V144" s="19">
        <v>2.5</v>
      </c>
      <c r="W144" s="19">
        <v>1</v>
      </c>
      <c r="X144" s="19">
        <v>0</v>
      </c>
      <c r="Y144" s="19">
        <v>0</v>
      </c>
      <c r="Z144" s="19">
        <v>0</v>
      </c>
      <c r="AA144" s="20">
        <f t="shared" si="37"/>
        <v>5</v>
      </c>
      <c r="AB144" s="21">
        <f t="shared" si="38"/>
        <v>6</v>
      </c>
      <c r="AC144" s="22">
        <f t="shared" si="39"/>
        <v>2447.5</v>
      </c>
      <c r="AD144" s="22">
        <f t="shared" si="40"/>
        <v>0</v>
      </c>
      <c r="AE144" s="18">
        <f t="shared" si="41"/>
        <v>305.9375</v>
      </c>
      <c r="AF144" s="18">
        <v>0</v>
      </c>
      <c r="AG144" s="18">
        <v>0</v>
      </c>
      <c r="AH144" s="23">
        <f t="shared" si="32"/>
        <v>2753.4375</v>
      </c>
      <c r="AI144" s="18">
        <v>0</v>
      </c>
      <c r="AJ144" s="18">
        <f>VLOOKUP(D144,[1]Sheet1!$D$6:$DR$155,119,0)</f>
        <v>0</v>
      </c>
      <c r="AK144" s="18">
        <f>VLOOKUP(D144,[1]Sheet1!$D$6:$DQ$155,118,0)</f>
        <v>0</v>
      </c>
      <c r="AL144" s="23">
        <f t="shared" si="42"/>
        <v>2753.4375</v>
      </c>
      <c r="AM144" s="24">
        <f t="shared" si="43"/>
        <v>330.41249999999997</v>
      </c>
      <c r="AN144" s="24">
        <f t="shared" si="44"/>
        <v>20.650781249999998</v>
      </c>
      <c r="AO144" s="24">
        <f t="shared" si="45"/>
        <v>0</v>
      </c>
      <c r="AP144" s="24">
        <f t="shared" si="33"/>
        <v>358</v>
      </c>
      <c r="AQ144" s="24">
        <f t="shared" si="34"/>
        <v>89</v>
      </c>
      <c r="AR144" s="24">
        <f t="shared" si="30"/>
        <v>2402.3742187500002</v>
      </c>
      <c r="AS144" s="25" t="s">
        <v>63</v>
      </c>
      <c r="AT144" s="26">
        <v>0</v>
      </c>
    </row>
    <row r="145" spans="1:46" ht="30" x14ac:dyDescent="0.25">
      <c r="A145" s="7">
        <v>141</v>
      </c>
      <c r="B145" s="8" t="str">
        <f t="shared" si="35"/>
        <v>SHE448</v>
      </c>
      <c r="C145" s="8" t="s">
        <v>52</v>
      </c>
      <c r="D145" s="8" t="s">
        <v>478</v>
      </c>
      <c r="E145" s="27" t="s">
        <v>479</v>
      </c>
      <c r="F145" s="8" t="s">
        <v>55</v>
      </c>
      <c r="G145" s="8" t="s">
        <v>83</v>
      </c>
      <c r="H145" s="10" t="s">
        <v>246</v>
      </c>
      <c r="I145" s="11" t="s">
        <v>58</v>
      </c>
      <c r="J145" s="12">
        <v>46078</v>
      </c>
      <c r="K145" s="13"/>
      <c r="L145" s="14"/>
      <c r="M145" s="14"/>
      <c r="N145" s="14"/>
      <c r="O145" s="13"/>
      <c r="P145" s="15">
        <v>0</v>
      </c>
      <c r="Q145" s="16" t="s">
        <v>62</v>
      </c>
      <c r="R145" s="17">
        <v>489.5</v>
      </c>
      <c r="S145" s="18">
        <f t="shared" si="36"/>
        <v>7342.5</v>
      </c>
      <c r="T145" s="8">
        <v>3.5</v>
      </c>
      <c r="U145" s="19">
        <v>0</v>
      </c>
      <c r="V145" s="19">
        <v>1</v>
      </c>
      <c r="W145" s="19">
        <v>0.5</v>
      </c>
      <c r="X145" s="19">
        <v>0</v>
      </c>
      <c r="Y145" s="19">
        <v>0</v>
      </c>
      <c r="Z145" s="19">
        <v>0</v>
      </c>
      <c r="AA145" s="20">
        <f t="shared" si="37"/>
        <v>3.5</v>
      </c>
      <c r="AB145" s="21">
        <f t="shared" si="38"/>
        <v>4</v>
      </c>
      <c r="AC145" s="22">
        <f t="shared" si="39"/>
        <v>1713.25</v>
      </c>
      <c r="AD145" s="22">
        <f t="shared" si="40"/>
        <v>0</v>
      </c>
      <c r="AE145" s="18">
        <f t="shared" si="41"/>
        <v>122.375</v>
      </c>
      <c r="AF145" s="18">
        <v>0</v>
      </c>
      <c r="AG145" s="18">
        <v>0</v>
      </c>
      <c r="AH145" s="23">
        <f t="shared" si="32"/>
        <v>1835.625</v>
      </c>
      <c r="AI145" s="18">
        <v>0</v>
      </c>
      <c r="AJ145" s="18">
        <f>VLOOKUP(D145,[1]Sheet1!$D$6:$DR$155,119,0)</f>
        <v>0</v>
      </c>
      <c r="AK145" s="18">
        <f>VLOOKUP(D145,[1]Sheet1!$D$6:$DQ$155,118,0)</f>
        <v>0</v>
      </c>
      <c r="AL145" s="23">
        <f t="shared" si="42"/>
        <v>1835.625</v>
      </c>
      <c r="AM145" s="24">
        <f t="shared" si="43"/>
        <v>220.27500000000001</v>
      </c>
      <c r="AN145" s="24">
        <f t="shared" si="44"/>
        <v>13.7671875</v>
      </c>
      <c r="AO145" s="24">
        <f t="shared" si="45"/>
        <v>0</v>
      </c>
      <c r="AP145" s="24">
        <f t="shared" si="33"/>
        <v>239</v>
      </c>
      <c r="AQ145" s="24">
        <f t="shared" si="34"/>
        <v>60</v>
      </c>
      <c r="AR145" s="24">
        <f t="shared" si="30"/>
        <v>1601.5828125</v>
      </c>
      <c r="AS145" s="25" t="s">
        <v>63</v>
      </c>
      <c r="AT145" s="26">
        <v>0</v>
      </c>
    </row>
    <row r="146" spans="1:46" ht="30" x14ac:dyDescent="0.25">
      <c r="A146" s="7">
        <v>142</v>
      </c>
      <c r="B146" s="8" t="str">
        <f t="shared" si="35"/>
        <v>SHE449</v>
      </c>
      <c r="C146" s="8" t="s">
        <v>52</v>
      </c>
      <c r="D146" s="8" t="s">
        <v>480</v>
      </c>
      <c r="E146" s="27" t="s">
        <v>481</v>
      </c>
      <c r="F146" s="8" t="s">
        <v>55</v>
      </c>
      <c r="G146" s="8" t="s">
        <v>83</v>
      </c>
      <c r="H146" s="10" t="s">
        <v>68</v>
      </c>
      <c r="I146" s="11" t="s">
        <v>58</v>
      </c>
      <c r="J146" s="12">
        <v>46076</v>
      </c>
      <c r="K146" s="13"/>
      <c r="L146" s="14"/>
      <c r="M146" s="14"/>
      <c r="N146" s="14"/>
      <c r="O146" s="13"/>
      <c r="P146" s="15">
        <v>0</v>
      </c>
      <c r="Q146" s="16" t="s">
        <v>62</v>
      </c>
      <c r="R146" s="17">
        <v>489.5</v>
      </c>
      <c r="S146" s="18">
        <f t="shared" si="36"/>
        <v>7342.5</v>
      </c>
      <c r="T146" s="8">
        <v>12</v>
      </c>
      <c r="U146" s="19">
        <v>0</v>
      </c>
      <c r="V146" s="19">
        <v>0</v>
      </c>
      <c r="W146" s="19">
        <v>0</v>
      </c>
      <c r="X146" s="19">
        <v>0</v>
      </c>
      <c r="Y146" s="19">
        <v>1</v>
      </c>
      <c r="Z146" s="19">
        <v>0</v>
      </c>
      <c r="AA146" s="20">
        <f t="shared" si="37"/>
        <v>12</v>
      </c>
      <c r="AB146" s="21">
        <f t="shared" si="38"/>
        <v>13</v>
      </c>
      <c r="AC146" s="22">
        <f t="shared" si="39"/>
        <v>5874</v>
      </c>
      <c r="AD146" s="22">
        <f t="shared" si="40"/>
        <v>0</v>
      </c>
      <c r="AE146" s="18">
        <f t="shared" si="41"/>
        <v>0</v>
      </c>
      <c r="AF146" s="18">
        <v>0</v>
      </c>
      <c r="AG146" s="18">
        <v>0</v>
      </c>
      <c r="AH146" s="23">
        <f t="shared" si="32"/>
        <v>5874</v>
      </c>
      <c r="AI146" s="18">
        <v>0</v>
      </c>
      <c r="AJ146" s="18">
        <f>VLOOKUP(D146,[1]Sheet1!$D$6:$DR$155,119,0)</f>
        <v>0</v>
      </c>
      <c r="AK146" s="18">
        <f>VLOOKUP(D146,[1]Sheet1!$D$6:$DQ$155,118,0)</f>
        <v>0</v>
      </c>
      <c r="AL146" s="23">
        <f t="shared" si="42"/>
        <v>5874</v>
      </c>
      <c r="AM146" s="24">
        <f t="shared" si="43"/>
        <v>704.88</v>
      </c>
      <c r="AN146" s="24">
        <f t="shared" si="44"/>
        <v>44.055</v>
      </c>
      <c r="AO146" s="24">
        <f t="shared" si="45"/>
        <v>0</v>
      </c>
      <c r="AP146" s="24">
        <f t="shared" si="33"/>
        <v>764</v>
      </c>
      <c r="AQ146" s="24">
        <f t="shared" si="34"/>
        <v>191</v>
      </c>
      <c r="AR146" s="24">
        <f t="shared" si="30"/>
        <v>5125.0650000000005</v>
      </c>
      <c r="AS146" s="25" t="s">
        <v>63</v>
      </c>
      <c r="AT146" s="26">
        <v>0</v>
      </c>
    </row>
    <row r="147" spans="1:46" ht="30" x14ac:dyDescent="0.25">
      <c r="A147" s="7">
        <v>143</v>
      </c>
      <c r="B147" s="8" t="str">
        <f t="shared" si="35"/>
        <v>SHE432</v>
      </c>
      <c r="C147" s="8" t="s">
        <v>64</v>
      </c>
      <c r="D147" s="8" t="s">
        <v>482</v>
      </c>
      <c r="E147" s="27" t="s">
        <v>483</v>
      </c>
      <c r="F147" s="8" t="s">
        <v>239</v>
      </c>
      <c r="G147" s="8" t="s">
        <v>240</v>
      </c>
      <c r="H147" s="10" t="s">
        <v>318</v>
      </c>
      <c r="I147" s="11" t="s">
        <v>58</v>
      </c>
      <c r="J147" s="12">
        <v>46056</v>
      </c>
      <c r="K147" s="13"/>
      <c r="L147" s="14"/>
      <c r="M147" s="14"/>
      <c r="N147" s="14"/>
      <c r="O147" s="13"/>
      <c r="P147" s="15">
        <v>0</v>
      </c>
      <c r="Q147" s="16" t="s">
        <v>62</v>
      </c>
      <c r="R147" s="17">
        <v>489.5</v>
      </c>
      <c r="S147" s="18">
        <f t="shared" si="36"/>
        <v>7342.5</v>
      </c>
      <c r="T147" s="8">
        <v>11</v>
      </c>
      <c r="U147" s="19">
        <v>0</v>
      </c>
      <c r="V147" s="19">
        <v>48</v>
      </c>
      <c r="W147" s="19">
        <v>2</v>
      </c>
      <c r="X147" s="19">
        <v>0</v>
      </c>
      <c r="Y147" s="19">
        <v>1</v>
      </c>
      <c r="Z147" s="19">
        <v>12</v>
      </c>
      <c r="AA147" s="20">
        <f t="shared" si="37"/>
        <v>11</v>
      </c>
      <c r="AB147" s="21">
        <f t="shared" si="38"/>
        <v>26</v>
      </c>
      <c r="AC147" s="22">
        <f t="shared" si="39"/>
        <v>5384.5</v>
      </c>
      <c r="AD147" s="22">
        <f t="shared" si="40"/>
        <v>0</v>
      </c>
      <c r="AE147" s="18">
        <f t="shared" si="41"/>
        <v>5874</v>
      </c>
      <c r="AF147" s="18">
        <v>0</v>
      </c>
      <c r="AG147" s="18">
        <f>VLOOKUP(D147,[2]Sheet1!$B$3:$D$50,3,0)</f>
        <v>12636.9</v>
      </c>
      <c r="AH147" s="23">
        <f t="shared" si="32"/>
        <v>23895.4</v>
      </c>
      <c r="AI147" s="18">
        <v>0</v>
      </c>
      <c r="AJ147" s="18">
        <f>VLOOKUP(D147,[1]Sheet1!$D$6:$DR$155,119,0)</f>
        <v>0</v>
      </c>
      <c r="AK147" s="18">
        <f>VLOOKUP(D147,[1]Sheet1!$D$6:$DQ$155,118,0)</f>
        <v>0</v>
      </c>
      <c r="AL147" s="23">
        <f t="shared" si="42"/>
        <v>23895.4</v>
      </c>
      <c r="AM147" s="24">
        <f t="shared" si="43"/>
        <v>1800</v>
      </c>
      <c r="AN147" s="24">
        <f t="shared" si="44"/>
        <v>179.21549999999999</v>
      </c>
      <c r="AO147" s="24">
        <f t="shared" si="45"/>
        <v>200</v>
      </c>
      <c r="AP147" s="24">
        <f t="shared" si="33"/>
        <v>1950</v>
      </c>
      <c r="AQ147" s="24">
        <f t="shared" si="34"/>
        <v>777</v>
      </c>
      <c r="AR147" s="24">
        <f t="shared" si="30"/>
        <v>21716.184500000003</v>
      </c>
      <c r="AS147" s="25" t="s">
        <v>63</v>
      </c>
      <c r="AT147" s="26">
        <v>0</v>
      </c>
    </row>
    <row r="148" spans="1:46" ht="30" x14ac:dyDescent="0.25">
      <c r="A148" s="7">
        <v>144</v>
      </c>
      <c r="B148" s="8" t="str">
        <f t="shared" si="35"/>
        <v>SHE436</v>
      </c>
      <c r="C148" s="8" t="s">
        <v>64</v>
      </c>
      <c r="D148" s="8" t="s">
        <v>484</v>
      </c>
      <c r="E148" s="27" t="s">
        <v>485</v>
      </c>
      <c r="F148" s="8" t="s">
        <v>239</v>
      </c>
      <c r="G148" s="8" t="s">
        <v>240</v>
      </c>
      <c r="H148" s="10" t="s">
        <v>265</v>
      </c>
      <c r="I148" s="11" t="s">
        <v>58</v>
      </c>
      <c r="J148" s="12">
        <v>46057</v>
      </c>
      <c r="K148" s="13"/>
      <c r="L148" s="14"/>
      <c r="M148" s="14"/>
      <c r="N148" s="14"/>
      <c r="O148" s="13"/>
      <c r="P148" s="15">
        <v>0</v>
      </c>
      <c r="Q148" s="16" t="s">
        <v>62</v>
      </c>
      <c r="R148" s="17">
        <v>489.5</v>
      </c>
      <c r="S148" s="18">
        <f t="shared" si="36"/>
        <v>7342.5</v>
      </c>
      <c r="T148" s="8">
        <v>10</v>
      </c>
      <c r="U148" s="19">
        <v>0</v>
      </c>
      <c r="V148" s="19">
        <v>29.5</v>
      </c>
      <c r="W148" s="19">
        <v>0</v>
      </c>
      <c r="X148" s="19">
        <v>0</v>
      </c>
      <c r="Y148" s="19">
        <v>2</v>
      </c>
      <c r="Z148" s="19">
        <v>13</v>
      </c>
      <c r="AA148" s="20">
        <f t="shared" si="37"/>
        <v>10</v>
      </c>
      <c r="AB148" s="21">
        <f t="shared" si="38"/>
        <v>25</v>
      </c>
      <c r="AC148" s="22">
        <f t="shared" si="39"/>
        <v>4895</v>
      </c>
      <c r="AD148" s="22">
        <f t="shared" si="40"/>
        <v>0</v>
      </c>
      <c r="AE148" s="18">
        <f t="shared" si="41"/>
        <v>3610.0625</v>
      </c>
      <c r="AF148" s="18">
        <v>0</v>
      </c>
      <c r="AG148" s="18">
        <f>VLOOKUP(D148,[2]Sheet1!$B$3:$D$50,3,0)</f>
        <v>11780</v>
      </c>
      <c r="AH148" s="23">
        <f t="shared" si="32"/>
        <v>20285.0625</v>
      </c>
      <c r="AI148" s="18">
        <v>0</v>
      </c>
      <c r="AJ148" s="18">
        <f>VLOOKUP(D148,[1]Sheet1!$D$6:$DR$155,119,0)</f>
        <v>0</v>
      </c>
      <c r="AK148" s="18">
        <f>VLOOKUP(D148,[1]Sheet1!$D$6:$DQ$155,118,0)</f>
        <v>350</v>
      </c>
      <c r="AL148" s="23">
        <f t="shared" si="42"/>
        <v>19935.0625</v>
      </c>
      <c r="AM148" s="24">
        <f t="shared" si="43"/>
        <v>1800</v>
      </c>
      <c r="AN148" s="24">
        <f t="shared" si="44"/>
        <v>152.13796875</v>
      </c>
      <c r="AO148" s="24">
        <f t="shared" si="45"/>
        <v>200</v>
      </c>
      <c r="AP148" s="24">
        <f t="shared" si="33"/>
        <v>1950</v>
      </c>
      <c r="AQ148" s="24">
        <f t="shared" si="34"/>
        <v>659</v>
      </c>
      <c r="AR148" s="24">
        <f t="shared" si="30"/>
        <v>17782.924531249999</v>
      </c>
      <c r="AS148" s="25" t="s">
        <v>63</v>
      </c>
      <c r="AT148" s="26">
        <v>0</v>
      </c>
    </row>
    <row r="149" spans="1:46" ht="30" x14ac:dyDescent="0.25">
      <c r="A149" s="7">
        <v>145</v>
      </c>
      <c r="B149" s="8" t="str">
        <f t="shared" si="35"/>
        <v>SHE439</v>
      </c>
      <c r="C149" s="8" t="s">
        <v>52</v>
      </c>
      <c r="D149" s="8" t="s">
        <v>486</v>
      </c>
      <c r="E149" s="27" t="s">
        <v>487</v>
      </c>
      <c r="F149" s="8" t="s">
        <v>239</v>
      </c>
      <c r="G149" s="8" t="s">
        <v>261</v>
      </c>
      <c r="H149" s="10" t="s">
        <v>68</v>
      </c>
      <c r="I149" s="11" t="s">
        <v>58</v>
      </c>
      <c r="J149" s="12">
        <v>46059</v>
      </c>
      <c r="K149" s="13"/>
      <c r="L149" s="14"/>
      <c r="M149" s="14"/>
      <c r="N149" s="14"/>
      <c r="O149" s="13"/>
      <c r="P149" s="15">
        <v>0</v>
      </c>
      <c r="Q149" s="16" t="s">
        <v>62</v>
      </c>
      <c r="R149" s="17">
        <v>489.5</v>
      </c>
      <c r="S149" s="18">
        <f t="shared" si="36"/>
        <v>7342.5</v>
      </c>
      <c r="T149" s="8">
        <v>13</v>
      </c>
      <c r="U149" s="19">
        <v>0</v>
      </c>
      <c r="V149" s="19">
        <v>0</v>
      </c>
      <c r="W149" s="19">
        <v>8</v>
      </c>
      <c r="X149" s="19">
        <v>0</v>
      </c>
      <c r="Y149" s="19">
        <v>2</v>
      </c>
      <c r="Z149" s="19">
        <v>0</v>
      </c>
      <c r="AA149" s="20">
        <f t="shared" si="37"/>
        <v>13</v>
      </c>
      <c r="AB149" s="21">
        <f t="shared" si="38"/>
        <v>23</v>
      </c>
      <c r="AC149" s="22">
        <f t="shared" si="39"/>
        <v>6363.5</v>
      </c>
      <c r="AD149" s="22">
        <f t="shared" si="40"/>
        <v>0</v>
      </c>
      <c r="AE149" s="18">
        <f t="shared" si="41"/>
        <v>0</v>
      </c>
      <c r="AF149" s="18">
        <v>0</v>
      </c>
      <c r="AG149" s="18">
        <v>0</v>
      </c>
      <c r="AH149" s="23">
        <f t="shared" si="32"/>
        <v>6363.5</v>
      </c>
      <c r="AI149" s="18">
        <v>0</v>
      </c>
      <c r="AJ149" s="18">
        <f>VLOOKUP(D149,[1]Sheet1!$D$6:$DR$155,119,0)</f>
        <v>200</v>
      </c>
      <c r="AK149" s="18">
        <f>VLOOKUP(D149,[1]Sheet1!$D$6:$DQ$155,118,0)</f>
        <v>0</v>
      </c>
      <c r="AL149" s="23">
        <f t="shared" si="42"/>
        <v>6163.5</v>
      </c>
      <c r="AM149" s="24">
        <f t="shared" si="43"/>
        <v>763.62</v>
      </c>
      <c r="AN149" s="24">
        <f t="shared" si="44"/>
        <v>47.72625</v>
      </c>
      <c r="AO149" s="24">
        <f t="shared" si="45"/>
        <v>0</v>
      </c>
      <c r="AP149" s="24">
        <f t="shared" si="33"/>
        <v>827</v>
      </c>
      <c r="AQ149" s="24">
        <f t="shared" si="34"/>
        <v>207</v>
      </c>
      <c r="AR149" s="24">
        <f t="shared" si="30"/>
        <v>5352.1537499999995</v>
      </c>
      <c r="AS149" s="25" t="s">
        <v>63</v>
      </c>
      <c r="AT149" s="26">
        <v>0</v>
      </c>
    </row>
    <row r="150" spans="1:46" ht="30" x14ac:dyDescent="0.25">
      <c r="A150" s="7">
        <v>146</v>
      </c>
      <c r="B150" s="8" t="str">
        <f t="shared" si="35"/>
        <v>SHE441</v>
      </c>
      <c r="C150" s="8" t="s">
        <v>52</v>
      </c>
      <c r="D150" s="8" t="s">
        <v>488</v>
      </c>
      <c r="E150" s="27" t="s">
        <v>489</v>
      </c>
      <c r="F150" s="8" t="s">
        <v>239</v>
      </c>
      <c r="G150" s="8" t="s">
        <v>261</v>
      </c>
      <c r="H150" s="10" t="s">
        <v>308</v>
      </c>
      <c r="I150" s="11" t="s">
        <v>58</v>
      </c>
      <c r="J150" s="12">
        <v>46063</v>
      </c>
      <c r="K150" s="13"/>
      <c r="L150" s="14"/>
      <c r="M150" s="14"/>
      <c r="N150" s="14"/>
      <c r="O150" s="13"/>
      <c r="P150" s="15">
        <v>0</v>
      </c>
      <c r="Q150" s="16" t="s">
        <v>62</v>
      </c>
      <c r="R150" s="17">
        <v>489.5</v>
      </c>
      <c r="S150" s="18">
        <f t="shared" si="36"/>
        <v>7342.5</v>
      </c>
      <c r="T150" s="8">
        <v>14.5</v>
      </c>
      <c r="U150" s="19">
        <v>0</v>
      </c>
      <c r="V150" s="19">
        <v>10</v>
      </c>
      <c r="W150" s="19">
        <v>2.5</v>
      </c>
      <c r="X150" s="19">
        <v>0</v>
      </c>
      <c r="Y150" s="19">
        <v>2</v>
      </c>
      <c r="Z150" s="19">
        <v>0</v>
      </c>
      <c r="AA150" s="20">
        <f t="shared" si="37"/>
        <v>14.5</v>
      </c>
      <c r="AB150" s="21">
        <f t="shared" si="38"/>
        <v>19</v>
      </c>
      <c r="AC150" s="22">
        <f t="shared" si="39"/>
        <v>7097.75</v>
      </c>
      <c r="AD150" s="22">
        <f t="shared" si="40"/>
        <v>0</v>
      </c>
      <c r="AE150" s="18">
        <f t="shared" si="41"/>
        <v>1223.75</v>
      </c>
      <c r="AF150" s="18">
        <v>0</v>
      </c>
      <c r="AG150" s="18">
        <v>0</v>
      </c>
      <c r="AH150" s="23">
        <f t="shared" si="32"/>
        <v>8321.5</v>
      </c>
      <c r="AI150" s="18">
        <v>0</v>
      </c>
      <c r="AJ150" s="18">
        <f>VLOOKUP(D150,[1]Sheet1!$D$6:$DR$155,119,0)</f>
        <v>0</v>
      </c>
      <c r="AK150" s="18">
        <f>VLOOKUP(D150,[1]Sheet1!$D$6:$DQ$155,118,0)</f>
        <v>350</v>
      </c>
      <c r="AL150" s="23">
        <f t="shared" si="42"/>
        <v>7971.5</v>
      </c>
      <c r="AM150" s="24">
        <f t="shared" si="43"/>
        <v>998.57999999999993</v>
      </c>
      <c r="AN150" s="24">
        <f t="shared" si="44"/>
        <v>62.411249999999995</v>
      </c>
      <c r="AO150" s="24">
        <f t="shared" si="45"/>
        <v>0</v>
      </c>
      <c r="AP150" s="24">
        <f t="shared" si="33"/>
        <v>1082</v>
      </c>
      <c r="AQ150" s="24">
        <f t="shared" si="34"/>
        <v>270</v>
      </c>
      <c r="AR150" s="24">
        <f t="shared" si="30"/>
        <v>6910.50875</v>
      </c>
      <c r="AS150" s="25" t="s">
        <v>63</v>
      </c>
      <c r="AT150" s="26">
        <v>0</v>
      </c>
    </row>
    <row r="151" spans="1:46" ht="30" x14ac:dyDescent="0.25">
      <c r="A151" s="7">
        <v>147</v>
      </c>
      <c r="B151" s="8" t="str">
        <f t="shared" si="35"/>
        <v>SHE442</v>
      </c>
      <c r="C151" s="8" t="s">
        <v>64</v>
      </c>
      <c r="D151" s="8" t="s">
        <v>490</v>
      </c>
      <c r="E151" s="27" t="s">
        <v>491</v>
      </c>
      <c r="F151" s="8" t="s">
        <v>239</v>
      </c>
      <c r="G151" s="8" t="s">
        <v>245</v>
      </c>
      <c r="H151" s="10" t="s">
        <v>285</v>
      </c>
      <c r="I151" s="11" t="s">
        <v>58</v>
      </c>
      <c r="J151" s="12">
        <v>46063</v>
      </c>
      <c r="K151" s="13"/>
      <c r="L151" s="14"/>
      <c r="M151" s="14"/>
      <c r="N151" s="14"/>
      <c r="O151" s="13"/>
      <c r="P151" s="15">
        <v>0</v>
      </c>
      <c r="Q151" s="16" t="s">
        <v>62</v>
      </c>
      <c r="R151" s="17">
        <v>489.5</v>
      </c>
      <c r="S151" s="18">
        <f t="shared" si="36"/>
        <v>7342.5</v>
      </c>
      <c r="T151" s="8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19</v>
      </c>
      <c r="AA151" s="20">
        <f t="shared" si="37"/>
        <v>0</v>
      </c>
      <c r="AB151" s="21">
        <f t="shared" si="38"/>
        <v>19</v>
      </c>
      <c r="AC151" s="22">
        <f t="shared" si="39"/>
        <v>0</v>
      </c>
      <c r="AD151" s="22">
        <f t="shared" si="40"/>
        <v>0</v>
      </c>
      <c r="AE151" s="18">
        <f t="shared" si="41"/>
        <v>0</v>
      </c>
      <c r="AF151" s="18">
        <v>0</v>
      </c>
      <c r="AG151" s="18">
        <f>VLOOKUP(D151,[2]Sheet1!$B$51:$D$61,3,0)</f>
        <v>37162</v>
      </c>
      <c r="AH151" s="23">
        <f t="shared" si="32"/>
        <v>37162</v>
      </c>
      <c r="AI151" s="18">
        <v>0</v>
      </c>
      <c r="AJ151" s="18">
        <f>VLOOKUP(D151,[1]Sheet1!$D$6:$DR$155,119,0)</f>
        <v>0</v>
      </c>
      <c r="AK151" s="18">
        <f>VLOOKUP(D151,[1]Sheet1!$D$6:$DQ$155,118,0)</f>
        <v>0</v>
      </c>
      <c r="AL151" s="23">
        <f t="shared" si="42"/>
        <v>37162</v>
      </c>
      <c r="AM151" s="24">
        <f t="shared" si="43"/>
        <v>1800</v>
      </c>
      <c r="AN151" s="24">
        <f t="shared" si="44"/>
        <v>278.71499999999997</v>
      </c>
      <c r="AO151" s="24">
        <f t="shared" si="45"/>
        <v>200</v>
      </c>
      <c r="AP151" s="24">
        <f t="shared" si="33"/>
        <v>1950</v>
      </c>
      <c r="AQ151" s="24">
        <f t="shared" si="34"/>
        <v>1208</v>
      </c>
      <c r="AR151" s="24">
        <f t="shared" si="30"/>
        <v>34883.285000000003</v>
      </c>
      <c r="AS151" s="25" t="s">
        <v>63</v>
      </c>
      <c r="AT151" s="26">
        <v>0</v>
      </c>
    </row>
    <row r="152" spans="1:46" ht="30" x14ac:dyDescent="0.25">
      <c r="A152" s="7">
        <v>148</v>
      </c>
      <c r="B152" s="8" t="str">
        <f t="shared" si="35"/>
        <v>SHE444</v>
      </c>
      <c r="C152" s="8" t="s">
        <v>64</v>
      </c>
      <c r="D152" s="8" t="s">
        <v>492</v>
      </c>
      <c r="E152" s="27" t="s">
        <v>493</v>
      </c>
      <c r="F152" s="8" t="s">
        <v>239</v>
      </c>
      <c r="G152" s="8" t="s">
        <v>245</v>
      </c>
      <c r="H152" s="10" t="s">
        <v>285</v>
      </c>
      <c r="I152" s="11" t="s">
        <v>58</v>
      </c>
      <c r="J152" s="12">
        <v>46063</v>
      </c>
      <c r="K152" s="13"/>
      <c r="L152" s="14"/>
      <c r="M152" s="14"/>
      <c r="N152" s="14"/>
      <c r="O152" s="13"/>
      <c r="P152" s="15">
        <v>0</v>
      </c>
      <c r="Q152" s="16" t="s">
        <v>62</v>
      </c>
      <c r="R152" s="17">
        <v>489.5</v>
      </c>
      <c r="S152" s="18">
        <f t="shared" si="36"/>
        <v>7342.5</v>
      </c>
      <c r="T152" s="8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19</v>
      </c>
      <c r="AA152" s="20">
        <f t="shared" si="37"/>
        <v>0</v>
      </c>
      <c r="AB152" s="21">
        <f t="shared" si="38"/>
        <v>19</v>
      </c>
      <c r="AC152" s="22">
        <f t="shared" si="39"/>
        <v>0</v>
      </c>
      <c r="AD152" s="22">
        <f t="shared" si="40"/>
        <v>0</v>
      </c>
      <c r="AE152" s="18">
        <f t="shared" si="41"/>
        <v>0</v>
      </c>
      <c r="AF152" s="18">
        <v>0</v>
      </c>
      <c r="AG152" s="18">
        <f>VLOOKUP(D152,[2]Sheet1!$B$51:$D$61,3,0)</f>
        <v>37162</v>
      </c>
      <c r="AH152" s="23">
        <f t="shared" si="32"/>
        <v>37162</v>
      </c>
      <c r="AI152" s="18">
        <v>0</v>
      </c>
      <c r="AJ152" s="18">
        <f>VLOOKUP(D152,[1]Sheet1!$D$6:$DR$155,119,0)</f>
        <v>0</v>
      </c>
      <c r="AK152" s="18">
        <f>VLOOKUP(D152,[1]Sheet1!$D$6:$DQ$155,118,0)</f>
        <v>0</v>
      </c>
      <c r="AL152" s="23">
        <f t="shared" si="42"/>
        <v>37162</v>
      </c>
      <c r="AM152" s="24">
        <f t="shared" si="43"/>
        <v>1800</v>
      </c>
      <c r="AN152" s="24">
        <f t="shared" si="44"/>
        <v>278.71499999999997</v>
      </c>
      <c r="AO152" s="24">
        <f t="shared" si="45"/>
        <v>200</v>
      </c>
      <c r="AP152" s="24">
        <f t="shared" si="33"/>
        <v>1950</v>
      </c>
      <c r="AQ152" s="24">
        <f t="shared" si="34"/>
        <v>1208</v>
      </c>
      <c r="AR152" s="24">
        <f t="shared" si="30"/>
        <v>34883.285000000003</v>
      </c>
      <c r="AS152" s="25" t="s">
        <v>63</v>
      </c>
      <c r="AT152" s="26">
        <v>0</v>
      </c>
    </row>
    <row r="153" spans="1:46" ht="30" x14ac:dyDescent="0.25">
      <c r="A153">
        <v>149</v>
      </c>
      <c r="B153" s="8" t="str">
        <f t="shared" si="35"/>
        <v>SHE445</v>
      </c>
      <c r="C153" s="8" t="s">
        <v>64</v>
      </c>
      <c r="D153" s="8" t="s">
        <v>494</v>
      </c>
      <c r="E153" s="27" t="s">
        <v>495</v>
      </c>
      <c r="F153" s="8" t="s">
        <v>239</v>
      </c>
      <c r="G153" s="8" t="s">
        <v>245</v>
      </c>
      <c r="H153" s="10" t="s">
        <v>300</v>
      </c>
      <c r="I153" s="11" t="s">
        <v>58</v>
      </c>
      <c r="J153" s="12">
        <v>46064</v>
      </c>
      <c r="K153" s="13"/>
      <c r="L153" s="14"/>
      <c r="M153" s="14"/>
      <c r="N153" s="14"/>
      <c r="O153" s="13"/>
      <c r="P153" s="15">
        <v>0</v>
      </c>
      <c r="Q153" s="16" t="s">
        <v>62</v>
      </c>
      <c r="R153" s="17">
        <v>489.5</v>
      </c>
      <c r="S153" s="18">
        <f t="shared" si="36"/>
        <v>7342.5</v>
      </c>
      <c r="T153" s="8">
        <v>16</v>
      </c>
      <c r="U153" s="19">
        <v>0</v>
      </c>
      <c r="V153" s="19">
        <v>44</v>
      </c>
      <c r="W153" s="19">
        <v>0</v>
      </c>
      <c r="X153" s="19">
        <v>0</v>
      </c>
      <c r="Y153" s="19">
        <v>2</v>
      </c>
      <c r="Z153" s="19">
        <v>0</v>
      </c>
      <c r="AA153" s="20">
        <f t="shared" si="37"/>
        <v>16</v>
      </c>
      <c r="AB153" s="21">
        <f t="shared" si="38"/>
        <v>18</v>
      </c>
      <c r="AC153" s="22">
        <f t="shared" si="39"/>
        <v>7832</v>
      </c>
      <c r="AD153" s="22">
        <f t="shared" si="40"/>
        <v>0</v>
      </c>
      <c r="AE153" s="18">
        <f t="shared" si="41"/>
        <v>5384.5</v>
      </c>
      <c r="AF153" s="18">
        <v>0</v>
      </c>
      <c r="AG153" s="18">
        <v>0</v>
      </c>
      <c r="AH153" s="23">
        <f t="shared" si="32"/>
        <v>13216.5</v>
      </c>
      <c r="AI153" s="18">
        <v>0</v>
      </c>
      <c r="AJ153" s="18">
        <f>VLOOKUP(D153,[1]Sheet1!$D$6:$DR$155,119,0)</f>
        <v>0</v>
      </c>
      <c r="AK153" s="18">
        <f>VLOOKUP(D153,[1]Sheet1!$D$6:$DQ$155,118,0)</f>
        <v>0</v>
      </c>
      <c r="AL153" s="23">
        <f t="shared" si="42"/>
        <v>13216.5</v>
      </c>
      <c r="AM153" s="24">
        <f t="shared" si="43"/>
        <v>1585.98</v>
      </c>
      <c r="AN153" s="24">
        <f t="shared" si="44"/>
        <v>99.123750000000001</v>
      </c>
      <c r="AO153" s="24">
        <f t="shared" si="45"/>
        <v>200</v>
      </c>
      <c r="AP153" s="24">
        <f t="shared" si="33"/>
        <v>1718</v>
      </c>
      <c r="AQ153" s="24">
        <f t="shared" si="34"/>
        <v>430</v>
      </c>
      <c r="AR153" s="24">
        <f t="shared" si="30"/>
        <v>11331.39625</v>
      </c>
      <c r="AS153" s="25" t="s">
        <v>63</v>
      </c>
      <c r="AT153" s="26">
        <v>0</v>
      </c>
    </row>
    <row r="154" spans="1:46" ht="30" x14ac:dyDescent="0.25">
      <c r="A154" s="7">
        <v>150</v>
      </c>
      <c r="B154" s="8" t="str">
        <f t="shared" si="35"/>
        <v>SHE450</v>
      </c>
      <c r="C154" s="8" t="s">
        <v>141</v>
      </c>
      <c r="D154" s="8" t="s">
        <v>496</v>
      </c>
      <c r="E154" s="27" t="s">
        <v>497</v>
      </c>
      <c r="F154" s="8" t="s">
        <v>239</v>
      </c>
      <c r="G154" s="8" t="s">
        <v>245</v>
      </c>
      <c r="H154" s="10" t="s">
        <v>300</v>
      </c>
      <c r="I154" s="11" t="s">
        <v>58</v>
      </c>
      <c r="J154" s="12">
        <v>46055</v>
      </c>
      <c r="K154" s="13"/>
      <c r="L154" s="14"/>
      <c r="M154" s="14"/>
      <c r="N154" s="14"/>
      <c r="O154" s="13"/>
      <c r="P154" s="15">
        <v>0</v>
      </c>
      <c r="Q154" s="16" t="s">
        <v>62</v>
      </c>
      <c r="R154" s="17">
        <v>489.5</v>
      </c>
      <c r="S154" s="18">
        <f t="shared" si="36"/>
        <v>7342.5</v>
      </c>
      <c r="T154" s="8">
        <v>21</v>
      </c>
      <c r="U154" s="19">
        <v>0</v>
      </c>
      <c r="V154" s="19">
        <v>0</v>
      </c>
      <c r="W154" s="19">
        <v>1</v>
      </c>
      <c r="X154" s="19">
        <v>0</v>
      </c>
      <c r="Y154" s="19">
        <v>3</v>
      </c>
      <c r="Z154" s="19">
        <v>0</v>
      </c>
      <c r="AA154" s="20">
        <f t="shared" si="37"/>
        <v>21</v>
      </c>
      <c r="AB154" s="21">
        <f t="shared" si="38"/>
        <v>25</v>
      </c>
      <c r="AC154" s="22">
        <f t="shared" si="39"/>
        <v>10279.5</v>
      </c>
      <c r="AD154" s="22">
        <f t="shared" si="40"/>
        <v>0</v>
      </c>
      <c r="AE154" s="18">
        <f t="shared" si="41"/>
        <v>0</v>
      </c>
      <c r="AF154" s="18">
        <v>0</v>
      </c>
      <c r="AG154" s="18">
        <v>0</v>
      </c>
      <c r="AH154" s="23">
        <f t="shared" si="32"/>
        <v>10279.5</v>
      </c>
      <c r="AI154" s="18">
        <v>0</v>
      </c>
      <c r="AJ154" s="18">
        <f>VLOOKUP(D154,[1]Sheet1!$D$6:$DR$155,119,0)</f>
        <v>0</v>
      </c>
      <c r="AK154" s="18">
        <f>VLOOKUP(D154,[1]Sheet1!$D$6:$DQ$155,118,0)</f>
        <v>0</v>
      </c>
      <c r="AL154" s="23">
        <f t="shared" si="42"/>
        <v>10279.5</v>
      </c>
      <c r="AM154" s="24">
        <f t="shared" si="43"/>
        <v>1233.54</v>
      </c>
      <c r="AN154" s="24">
        <f t="shared" si="44"/>
        <v>77.096249999999998</v>
      </c>
      <c r="AO154" s="24">
        <f t="shared" si="45"/>
        <v>0</v>
      </c>
      <c r="AP154" s="24">
        <f t="shared" si="33"/>
        <v>1336</v>
      </c>
      <c r="AQ154" s="24">
        <f t="shared" si="34"/>
        <v>334</v>
      </c>
      <c r="AR154" s="24">
        <f t="shared" si="30"/>
        <v>8968.8637500000004</v>
      </c>
      <c r="AS154" s="25" t="s">
        <v>63</v>
      </c>
    </row>
    <row r="155" spans="1:46" ht="30" x14ac:dyDescent="0.25">
      <c r="A155">
        <v>151</v>
      </c>
      <c r="B155" s="8" t="str">
        <f t="shared" si="35"/>
        <v>sup</v>
      </c>
      <c r="C155" s="8" t="s">
        <v>498</v>
      </c>
      <c r="D155" s="8" t="s">
        <v>499</v>
      </c>
      <c r="E155" s="27" t="s">
        <v>500</v>
      </c>
      <c r="F155" s="8" t="s">
        <v>501</v>
      </c>
      <c r="G155" s="8" t="s">
        <v>501</v>
      </c>
      <c r="H155" s="10" t="s">
        <v>501</v>
      </c>
      <c r="I155" s="11" t="s">
        <v>58</v>
      </c>
      <c r="J155" s="12" t="s">
        <v>502</v>
      </c>
      <c r="K155" s="13" t="s">
        <v>59</v>
      </c>
      <c r="L155" s="14">
        <v>36541869739</v>
      </c>
      <c r="M155" s="14" t="s">
        <v>126</v>
      </c>
      <c r="N155" s="14">
        <v>101374242000</v>
      </c>
      <c r="O155" s="13">
        <v>3812322614</v>
      </c>
      <c r="P155" s="15">
        <v>0</v>
      </c>
      <c r="Q155" s="16" t="s">
        <v>62</v>
      </c>
      <c r="R155" s="17">
        <v>500</v>
      </c>
      <c r="S155" s="18">
        <f t="shared" si="36"/>
        <v>7500</v>
      </c>
      <c r="T155" s="8">
        <v>20</v>
      </c>
      <c r="U155" s="19">
        <v>0</v>
      </c>
      <c r="V155" s="19">
        <v>0</v>
      </c>
      <c r="W155" s="19">
        <v>8</v>
      </c>
      <c r="X155" s="19">
        <v>0</v>
      </c>
      <c r="Y155" s="19">
        <v>0</v>
      </c>
      <c r="Z155" s="19">
        <v>0</v>
      </c>
      <c r="AA155" s="20">
        <f t="shared" si="37"/>
        <v>20</v>
      </c>
      <c r="AB155" s="21">
        <f t="shared" si="38"/>
        <v>28</v>
      </c>
      <c r="AC155" s="22">
        <f t="shared" si="39"/>
        <v>10000</v>
      </c>
      <c r="AD155" s="22">
        <f t="shared" si="40"/>
        <v>0</v>
      </c>
      <c r="AE155" s="18">
        <f t="shared" si="41"/>
        <v>0</v>
      </c>
      <c r="AF155" s="18">
        <v>0</v>
      </c>
      <c r="AG155" s="18">
        <v>0</v>
      </c>
      <c r="AH155" s="23">
        <f t="shared" si="32"/>
        <v>10000</v>
      </c>
      <c r="AI155" s="18">
        <v>0</v>
      </c>
      <c r="AJ155" s="18">
        <v>0</v>
      </c>
      <c r="AK155" s="18">
        <v>0</v>
      </c>
      <c r="AL155" s="23">
        <f t="shared" si="42"/>
        <v>10000</v>
      </c>
      <c r="AM155" s="24">
        <f t="shared" si="43"/>
        <v>1200</v>
      </c>
      <c r="AN155" s="24">
        <f t="shared" si="44"/>
        <v>75</v>
      </c>
      <c r="AO155" s="24">
        <f t="shared" si="45"/>
        <v>0</v>
      </c>
      <c r="AP155" s="24">
        <f>ROUND(AM155*13/12,0)</f>
        <v>1300</v>
      </c>
      <c r="AQ155" s="24">
        <f>ROUND(AN155*3.25/0.75,0)</f>
        <v>325</v>
      </c>
      <c r="AR155" s="24">
        <f>AH155-SUM(AI155:AK155)-SUM(AM155:AO155)</f>
        <v>8725</v>
      </c>
      <c r="AS155" s="25" t="s">
        <v>63</v>
      </c>
    </row>
    <row r="156" spans="1:46" x14ac:dyDescent="0.25">
      <c r="R156" s="31" t="s">
        <v>503</v>
      </c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29">
        <f>SUM(AH5:AH155)</f>
        <v>2549569.94704</v>
      </c>
      <c r="AM156" s="30">
        <f t="shared" si="43"/>
        <v>1800</v>
      </c>
      <c r="AN156" s="30">
        <f t="shared" si="44"/>
        <v>19121.7746028</v>
      </c>
      <c r="AO156" s="30">
        <f t="shared" si="45"/>
        <v>200</v>
      </c>
      <c r="AP156" s="30">
        <f>ROUND(AM156*13/12,0)</f>
        <v>1950</v>
      </c>
      <c r="AQ156" s="30">
        <f>ROUND(AN156*3.25/0.75,0)</f>
        <v>82861</v>
      </c>
    </row>
  </sheetData>
  <protectedRanges>
    <protectedRange sqref="AA5:AA155" name="lock_2"/>
  </protectedRanges>
  <mergeCells count="1">
    <mergeCell ref="R156:AG156"/>
  </mergeCells>
  <conditionalFormatting sqref="D5">
    <cfRule type="duplicateValues" dxfId="135" priority="98"/>
    <cfRule type="duplicateValues" dxfId="134" priority="91"/>
    <cfRule type="duplicateValues" dxfId="133" priority="95"/>
    <cfRule type="duplicateValues" dxfId="132" priority="94"/>
    <cfRule type="duplicateValues" dxfId="131" priority="93"/>
    <cfRule type="duplicateValues" dxfId="130" priority="92"/>
    <cfRule type="duplicateValues" dxfId="129" priority="104"/>
    <cfRule type="duplicateValues" dxfId="128" priority="103"/>
    <cfRule type="duplicateValues" dxfId="127" priority="102"/>
    <cfRule type="duplicateValues" dxfId="126" priority="101"/>
    <cfRule type="duplicateValues" dxfId="125" priority="100"/>
    <cfRule type="duplicateValues" dxfId="124" priority="99"/>
    <cfRule type="duplicateValues" dxfId="123" priority="97"/>
    <cfRule type="duplicateValues" dxfId="122" priority="96"/>
  </conditionalFormatting>
  <conditionalFormatting sqref="D6:D123 D155">
    <cfRule type="expression" dxfId="120" priority="129" stopIfTrue="1">
      <formula>AND(COUNTIF($D$155:$D$155, D6)+COUNTIF($D$6:$D$123, D6)&gt;1,NOT(ISBLANK(D6)))</formula>
    </cfRule>
  </conditionalFormatting>
  <conditionalFormatting sqref="D124 D127:D131">
    <cfRule type="expression" dxfId="119" priority="126" stopIfTrue="1">
      <formula>AND(COUNTIF($D$124:$D$124, D124)+COUNTIF($D$127:$D$131, D124)&gt;1,NOT(ISBLANK(D124)))</formula>
    </cfRule>
  </conditionalFormatting>
  <conditionalFormatting sqref="D125">
    <cfRule type="duplicateValues" dxfId="118" priority="45"/>
    <cfRule type="duplicateValues" dxfId="117" priority="46"/>
    <cfRule type="duplicateValues" dxfId="116" priority="47"/>
    <cfRule type="duplicateValues" dxfId="115" priority="48"/>
    <cfRule type="duplicateValues" dxfId="114" priority="49"/>
    <cfRule type="duplicateValues" dxfId="113" priority="50"/>
    <cfRule type="duplicateValues" dxfId="112" priority="51"/>
    <cfRule type="duplicateValues" dxfId="111" priority="52"/>
    <cfRule type="duplicateValues" dxfId="110" priority="53"/>
    <cfRule type="duplicateValues" dxfId="109" priority="54"/>
    <cfRule type="duplicateValues" dxfId="108" priority="55"/>
    <cfRule type="duplicateValues" dxfId="107" priority="57"/>
    <cfRule type="duplicateValues" dxfId="106" priority="58"/>
    <cfRule type="duplicateValues" dxfId="105" priority="59"/>
    <cfRule type="duplicateValues" dxfId="104" priority="56"/>
  </conditionalFormatting>
  <conditionalFormatting sqref="D126">
    <cfRule type="duplicateValues" dxfId="103" priority="64"/>
    <cfRule type="duplicateValues" dxfId="102" priority="65"/>
    <cfRule type="duplicateValues" dxfId="101" priority="66"/>
    <cfRule type="duplicateValues" dxfId="100" priority="67"/>
    <cfRule type="duplicateValues" dxfId="99" priority="68"/>
    <cfRule type="duplicateValues" dxfId="98" priority="69"/>
    <cfRule type="duplicateValues" dxfId="97" priority="90"/>
    <cfRule type="duplicateValues" dxfId="96" priority="89"/>
    <cfRule type="duplicateValues" dxfId="95" priority="88"/>
    <cfRule type="duplicateValues" dxfId="94" priority="87"/>
    <cfRule type="duplicateValues" dxfId="93" priority="86"/>
    <cfRule type="duplicateValues" dxfId="92" priority="85"/>
    <cfRule type="duplicateValues" dxfId="91" priority="84"/>
    <cfRule type="duplicateValues" dxfId="90" priority="83"/>
    <cfRule type="duplicateValues" dxfId="89" priority="79"/>
    <cfRule type="duplicateValues" dxfId="88" priority="78"/>
    <cfRule type="duplicateValues" dxfId="87" priority="77"/>
    <cfRule type="duplicateValues" dxfId="86" priority="76"/>
    <cfRule type="duplicateValues" dxfId="85" priority="75"/>
    <cfRule type="duplicateValues" dxfId="84" priority="74"/>
    <cfRule type="duplicateValues" dxfId="83" priority="73"/>
    <cfRule type="duplicateValues" dxfId="82" priority="72"/>
    <cfRule type="duplicateValues" dxfId="81" priority="71"/>
    <cfRule type="duplicateValues" dxfId="80" priority="82"/>
    <cfRule type="duplicateValues" dxfId="79" priority="70"/>
    <cfRule type="duplicateValues" dxfId="78" priority="81"/>
    <cfRule type="duplicateValues" dxfId="77" priority="80"/>
    <cfRule type="duplicateValues" dxfId="76" priority="60"/>
    <cfRule type="duplicateValues" dxfId="75" priority="61"/>
    <cfRule type="duplicateValues" dxfId="74" priority="62"/>
    <cfRule type="duplicateValues" dxfId="73" priority="63"/>
  </conditionalFormatting>
  <conditionalFormatting sqref="D132:D136">
    <cfRule type="duplicateValues" dxfId="72" priority="117"/>
    <cfRule type="duplicateValues" dxfId="71" priority="118"/>
    <cfRule type="duplicateValues" dxfId="70" priority="120"/>
    <cfRule type="duplicateValues" dxfId="69" priority="121"/>
    <cfRule type="duplicateValues" dxfId="68" priority="122"/>
    <cfRule type="duplicateValues" dxfId="67" priority="119"/>
    <cfRule type="duplicateValues" dxfId="66" priority="108"/>
    <cfRule type="duplicateValues" dxfId="65" priority="109"/>
    <cfRule type="duplicateValues" dxfId="64" priority="110"/>
    <cfRule type="duplicateValues" dxfId="63" priority="111"/>
    <cfRule type="duplicateValues" dxfId="62" priority="112"/>
    <cfRule type="duplicateValues" dxfId="61" priority="113"/>
    <cfRule type="duplicateValues" dxfId="60" priority="114"/>
    <cfRule type="duplicateValues" dxfId="59" priority="115"/>
    <cfRule type="duplicateValues" dxfId="58" priority="116"/>
  </conditionalFormatting>
  <conditionalFormatting sqref="D137:D154">
    <cfRule type="duplicateValues" dxfId="57" priority="2"/>
    <cfRule type="duplicateValues" dxfId="56" priority="3"/>
    <cfRule type="duplicateValues" dxfId="55" priority="4"/>
    <cfRule type="duplicateValues" dxfId="54" priority="5"/>
    <cfRule type="duplicateValues" dxfId="53" priority="6"/>
    <cfRule type="duplicateValues" dxfId="52" priority="9"/>
    <cfRule type="duplicateValues" dxfId="51" priority="7"/>
    <cfRule type="duplicateValues" dxfId="50" priority="8"/>
    <cfRule type="duplicateValues" dxfId="49" priority="16"/>
    <cfRule type="duplicateValues" dxfId="48" priority="15"/>
    <cfRule type="duplicateValues" dxfId="47" priority="14"/>
    <cfRule type="duplicateValues" dxfId="46" priority="13"/>
    <cfRule type="duplicateValues" dxfId="45" priority="12"/>
    <cfRule type="duplicateValues" dxfId="44" priority="11"/>
    <cfRule type="duplicateValues" dxfId="43" priority="10"/>
  </conditionalFormatting>
  <conditionalFormatting sqref="E5">
    <cfRule type="duplicateValues" dxfId="42" priority="105"/>
  </conditionalFormatting>
  <conditionalFormatting sqref="E6:E123">
    <cfRule type="duplicateValues" dxfId="41" priority="125"/>
  </conditionalFormatting>
  <conditionalFormatting sqref="E124 E126:E131">
    <cfRule type="expression" dxfId="40" priority="132" stopIfTrue="1">
      <formula>AND(COUNTIF($E$124:$E$124, E124)+COUNTIF($E$126:$E$131, E124)&gt;1,NOT(ISBLANK(E124)))</formula>
    </cfRule>
  </conditionalFormatting>
  <conditionalFormatting sqref="E125">
    <cfRule type="duplicateValues" dxfId="39" priority="44"/>
    <cfRule type="duplicateValues" dxfId="38" priority="43"/>
  </conditionalFormatting>
  <conditionalFormatting sqref="E132:E136">
    <cfRule type="duplicateValues" dxfId="37" priority="124"/>
    <cfRule type="duplicateValues" dxfId="36" priority="123"/>
  </conditionalFormatting>
  <conditionalFormatting sqref="E137:E154">
    <cfRule type="duplicateValues" dxfId="35" priority="18"/>
    <cfRule type="duplicateValues" dxfId="34" priority="17"/>
  </conditionalFormatting>
  <conditionalFormatting sqref="E155">
    <cfRule type="duplicateValues" dxfId="33" priority="42"/>
    <cfRule type="duplicateValues" dxfId="32" priority="41"/>
  </conditionalFormatting>
  <conditionalFormatting sqref="L5:L122 L155">
    <cfRule type="expression" dxfId="31" priority="137" stopIfTrue="1">
      <formula>AND(COUNTIF($L$155:$L$155, L5)+COUNTIF($L$5:$L$122, L5)&gt;1,NOT(ISBLANK(L5)))</formula>
    </cfRule>
    <cfRule type="expression" dxfId="30" priority="138" stopIfTrue="1">
      <formula>AND(COUNTIF($L$155:$L$155, L5)+COUNTIF($L$5:$L$122, L5)&gt;1,NOT(ISBLANK(L5)))</formula>
    </cfRule>
    <cfRule type="expression" dxfId="29" priority="139" stopIfTrue="1">
      <formula>AND(COUNTIF($L$155:$L$155, L5)+COUNTIF($L$5:$L$122, L5)&gt;1,NOT(ISBLANK(L5)))</formula>
    </cfRule>
  </conditionalFormatting>
  <conditionalFormatting sqref="L123:L124">
    <cfRule type="duplicateValues" dxfId="28" priority="28"/>
    <cfRule type="duplicateValues" dxfId="27" priority="30"/>
    <cfRule type="duplicateValues" dxfId="26" priority="29"/>
    <cfRule type="duplicateValues" dxfId="25" priority="27"/>
    <cfRule type="duplicateValues" dxfId="24" priority="26"/>
  </conditionalFormatting>
  <conditionalFormatting sqref="L125:L126 L128:L134 L136">
    <cfRule type="expression" dxfId="23" priority="134" stopIfTrue="1">
      <formula>AND(COUNTIF($L$125:$L$126, L125)+COUNTIF($L$136:$L$136, L125)+COUNTIF($L$128:$L$134, L125)&gt;1,NOT(ISBLANK(L125)))</formula>
    </cfRule>
    <cfRule type="expression" dxfId="22" priority="135" stopIfTrue="1">
      <formula>AND(COUNTIF($L$125:$L$126, L125)+COUNTIF($L$136:$L$136, L125)+COUNTIF($L$128:$L$134, L125)&gt;1,NOT(ISBLANK(L125)))</formula>
    </cfRule>
    <cfRule type="expression" dxfId="21" priority="136" stopIfTrue="1">
      <formula>AND(COUNTIF($L$125:$L$126, L125)+COUNTIF($L$136:$L$136, L125)+COUNTIF($L$128:$L$134, L125)&gt;1,NOT(ISBLANK(L125)))</formula>
    </cfRule>
  </conditionalFormatting>
  <conditionalFormatting sqref="L127">
    <cfRule type="duplicateValues" dxfId="20" priority="35"/>
    <cfRule type="duplicateValues" dxfId="19" priority="34"/>
    <cfRule type="duplicateValues" dxfId="18" priority="33"/>
    <cfRule type="duplicateValues" dxfId="17" priority="32"/>
    <cfRule type="duplicateValues" dxfId="16" priority="31"/>
  </conditionalFormatting>
  <conditionalFormatting sqref="L135">
    <cfRule type="duplicateValues" dxfId="15" priority="39"/>
    <cfRule type="duplicateValues" dxfId="14" priority="38"/>
    <cfRule type="duplicateValues" dxfId="13" priority="37"/>
    <cfRule type="duplicateValues" dxfId="12" priority="36"/>
    <cfRule type="duplicateValues" dxfId="11" priority="40"/>
  </conditionalFormatting>
  <conditionalFormatting sqref="L137:L154">
    <cfRule type="duplicateValues" dxfId="10" priority="20"/>
    <cfRule type="duplicateValues" dxfId="9" priority="21"/>
    <cfRule type="duplicateValues" dxfId="8" priority="22"/>
    <cfRule type="duplicateValues" dxfId="7" priority="23"/>
    <cfRule type="duplicateValues" dxfId="6" priority="19"/>
  </conditionalFormatting>
  <conditionalFormatting sqref="N5:N136 N155">
    <cfRule type="expression" dxfId="5" priority="140" stopIfTrue="1">
      <formula>AND(COUNTIF($N$155:$N$155, N5)+COUNTIF($N$5:$N$136, N5)&gt;1,NOT(ISBLANK(N5)))</formula>
    </cfRule>
  </conditionalFormatting>
  <conditionalFormatting sqref="N137:N154">
    <cfRule type="duplicateValues" dxfId="4" priority="24"/>
  </conditionalFormatting>
  <conditionalFormatting sqref="O137:O154">
    <cfRule type="duplicateValues" dxfId="3" priority="25"/>
  </conditionalFormatting>
  <conditionalFormatting sqref="O5:P5 O6:O136 P6:P155 O155">
    <cfRule type="expression" dxfId="2" priority="141" stopIfTrue="1">
      <formula>AND(COUNTIF($O$155:$O$155, O5)+COUNTIF($O$5:$P$5, O5)+COUNTIF($O$6:$O$136, O5)+COUNTIF($P$6:$P$155, O5)&gt;1,NOT(ISBLANK(O5)))</formula>
    </cfRule>
  </conditionalFormatting>
  <conditionalFormatting sqref="Q5">
    <cfRule type="duplicateValues" dxfId="1" priority="106"/>
  </conditionalFormatting>
  <conditionalFormatting sqref="Q6:Q155">
    <cfRule type="duplicateValues" dxfId="0" priority="107"/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" operator="beginsWith" id="{24B706BC-6C78-4C48-BFA2-8A57226BCA47}">
            <xm:f>LEFT(D5,LEN("OFF"))="OFF"</xm:f>
            <x14:dxf>
              <fill>
                <gradientFill type="path" left="0.5" right="0.5" top="0.5" bottom="0.5">
                  <stop position="0">
                    <color theme="0"/>
                  </stop>
                  <stop position="1">
                    <color rgb="FF9900CC"/>
                  </stop>
                </gradientFill>
              </fill>
            </x14:dxf>
          </x14:cfRule>
          <xm:sqref>D5:D155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Patel</dc:creator>
  <cp:lastModifiedBy>Dhruv Patel</cp:lastModifiedBy>
  <dcterms:created xsi:type="dcterms:W3CDTF">2026-03-22T14:07:18Z</dcterms:created>
  <dcterms:modified xsi:type="dcterms:W3CDTF">2026-03-30T07:32:20Z</dcterms:modified>
</cp:coreProperties>
</file>